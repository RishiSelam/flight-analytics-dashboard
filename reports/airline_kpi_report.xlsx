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rline Performance" sheetId="2" state="visible" r:id="rId2"/>
    <sheet name="Route Analysis" sheetId="3" state="visible" r:id="rId3"/>
    <sheet name="Airport Analysis" sheetId="4" state="visible" r:id="rId4"/>
    <sheet name="Passenger Analysis" sheetId="5" state="visible" r:id="rId5"/>
    <sheet name="Revenu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0B0B0B"/>
      <sz val="16"/>
    </font>
    <font>
      <i val="1"/>
      <color rgb="0052514E"/>
      <sz val="10"/>
    </font>
    <font>
      <b val="1"/>
      <color rgb="001C5CAB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166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On-time rate by airline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'Airline Performance'!C5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'Airline Performance'!$A$6:$A$11</f>
            </numRef>
          </cat>
          <val>
            <numRef>
              <f>'Airline Performance'!$C$6:$C$11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On-time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Disruption rate by airport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'Airport Analysis'!F5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'Airport Analysis'!$A$6:$A$20</f>
            </numRef>
          </cat>
          <val>
            <numRef>
              <f>'Airport Analysis'!$F$6:$F$20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Disruption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passengers</a:t>
            </a:r>
          </a:p>
        </rich>
      </tx>
    </title>
    <plotArea>
      <lineChart>
        <grouping val="standard"/>
        <ser>
          <idx val="0"/>
          <order val="0"/>
          <tx>
            <strRef>
              <f>'Passenger Analysis'!B5</f>
            </strRef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'Passenger Analysis'!$A$6:$A$17</f>
            </numRef>
          </cat>
          <val>
            <numRef>
              <f>'Passenger Analysis'!$B$6:$B$17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Passengers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airline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Analysis'!C5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'Revenue Analysis'!$A$6:$A$11</f>
            </numRef>
          </cat>
          <val>
            <numRef>
              <f>'Revenue Analysis'!$C$6:$C$11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numFmt formatCode="$#,##0,,&quot;M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Airline Operations &amp; Passenger Analytics: KPI Report</t>
        </is>
      </c>
    </row>
    <row r="2">
      <c r="A2" s="2" t="inlineStr">
        <is>
          <t>Period 2025-01-01 to 2025-12-31  |  Generated 2026-09-26 20:20 by run_pipeline.py</t>
        </is>
      </c>
    </row>
    <row r="4">
      <c r="A4" s="3" t="inlineStr">
        <is>
          <t>Headline KPIs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flights</t>
        </is>
      </c>
      <c r="B6" s="6" t="n">
        <v>27680</v>
      </c>
    </row>
    <row r="7">
      <c r="A7" s="5" t="inlineStr">
        <is>
          <t>Passengers</t>
        </is>
      </c>
      <c r="B7" s="6" t="n">
        <v>2990339</v>
      </c>
    </row>
    <row r="8">
      <c r="A8" s="5" t="inlineStr">
        <is>
          <t>Revenue</t>
        </is>
      </c>
      <c r="B8" s="7" t="n">
        <v>920617779.03</v>
      </c>
    </row>
    <row r="9">
      <c r="A9" s="5" t="inlineStr">
        <is>
          <t>Average fare</t>
        </is>
      </c>
      <c r="B9" s="8" t="n">
        <v>307.86</v>
      </c>
    </row>
    <row r="10">
      <c r="A10" s="5" t="inlineStr">
        <is>
          <t>On-time rate (departure &lt; 15 min late)</t>
        </is>
      </c>
      <c r="B10" s="9" t="n">
        <v>0.7456</v>
      </c>
    </row>
    <row r="11">
      <c r="A11" s="5" t="inlineStr">
        <is>
          <t>Average departure delay (min)</t>
        </is>
      </c>
      <c r="B11" s="10" t="n">
        <v>13.65</v>
      </c>
    </row>
    <row r="12">
      <c r="A12" s="5" t="inlineStr">
        <is>
          <t>Cancellation rate</t>
        </is>
      </c>
      <c r="B12" s="9" t="n">
        <v>0.0328</v>
      </c>
    </row>
    <row r="13">
      <c r="A13" s="5" t="inlineStr">
        <is>
          <t>Cancelled flights</t>
        </is>
      </c>
      <c r="B13" s="6" t="n">
        <v>909</v>
      </c>
    </row>
    <row r="16">
      <c r="A16" s="3" t="inlineStr">
        <is>
          <t>Key Insights</t>
        </is>
      </c>
    </row>
    <row r="17" ht="34" customHeight="1">
      <c r="A17" s="11" t="inlineStr">
        <is>
          <t>1.</t>
        </is>
      </c>
      <c r="B17" s="12" t="inlineStr">
        <is>
          <t>Summit Air has the highest delay rate: 32.2% of its flights left 15+ minutes late (avg delay 18.4 min), versus 20.8% for Northstar Airlines, the most punctual carrier.</t>
        </is>
      </c>
    </row>
    <row r="18" ht="34" customHeight="1">
      <c r="A18" s="11" t="inlineStr">
        <is>
          <t>2.</t>
        </is>
      </c>
      <c r="B18" s="12" t="inlineStr">
        <is>
          <t>ORD is the most disrupted airport: 16.9% of departures were cancelled or 60+ minutes late, 1.6x the network average (10.3%). PHX was the least disrupted (5.8%).</t>
        </is>
      </c>
    </row>
    <row r="19" ht="19" customHeight="1">
      <c r="A19" s="11" t="inlineStr">
        <is>
          <t>3.</t>
        </is>
      </c>
      <c r="B19" s="12" t="inlineStr">
        <is>
          <t>ORD has the highest cancellation rate at 6.3%, against a network rate of 3.3%.</t>
        </is>
      </c>
    </row>
    <row r="20" ht="34" customHeight="1">
      <c r="A20" s="11" t="inlineStr">
        <is>
          <t>4.</t>
        </is>
      </c>
      <c r="B20" s="12" t="inlineStr">
        <is>
          <t>MIA-SFO is the top revenue route ($41.3M, 4.5% of total revenue); the top 10 routes together generate 36.8%.</t>
        </is>
      </c>
    </row>
    <row r="21" ht="64" customHeight="1">
      <c r="A21" s="11" t="inlineStr">
        <is>
          <t>5.</t>
        </is>
      </c>
      <c r="B21" s="12" t="inlineStr">
        <is>
          <t>7 of the busiest routes (top passenger quartile) run below the 74.6% network on-time rate. Biggest: SFO-MIA (91,829 pax, 71.4% on time), ATL-PHX (90,973 pax, 72.4% on time), DEN-JFK (86,362 pax, 70.2% on time). These need operational attention first, because the most passengers are affected.</t>
        </is>
      </c>
    </row>
    <row r="22" ht="34" customHeight="1">
      <c r="A22" s="11" t="inlineStr">
        <is>
          <t>6.</t>
        </is>
      </c>
      <c r="B22" s="12" t="inlineStr">
        <is>
          <t>Delays build up through the day: departures before 09:00 average 10.6 min of delay (79.0% on time), while departures from 18:00 average 16.3 min (71.8% on time).</t>
        </is>
      </c>
    </row>
    <row r="23" ht="34" customHeight="1">
      <c r="A23" s="11" t="inlineStr">
        <is>
          <t>7.</t>
        </is>
      </c>
      <c r="B23" s="12" t="inlineStr">
        <is>
          <t>July was the worst month for punctuality (65.2% on time) and September the best (81.8%). Passenger volume peaked in July (280,218 passengers).</t>
        </is>
      </c>
    </row>
    <row r="24" ht="34" customHeight="1">
      <c r="A24" s="11" t="inlineStr">
        <is>
          <t>8.</t>
        </is>
      </c>
      <c r="B24" s="12" t="inlineStr">
        <is>
          <t>Business class is 8.4% of passengers but 21.0% of revenue, with an average fare of $770 versus $250 in Economy.</t>
        </is>
      </c>
    </row>
    <row r="27">
      <c r="A27" s="3" t="inlineStr">
        <is>
          <t>Data Quality (cleaning log)</t>
        </is>
      </c>
    </row>
    <row r="28">
      <c r="A28" s="5" t="inlineStr">
        <is>
          <t>Raw rows</t>
        </is>
      </c>
      <c r="B28" s="13" t="n">
        <v>77508</v>
      </c>
    </row>
    <row r="29">
      <c r="A29" s="5" t="inlineStr">
        <is>
          <t>Exact duplicates removed</t>
        </is>
      </c>
      <c r="B29" s="13" t="n">
        <v>919</v>
      </c>
    </row>
    <row r="30">
      <c r="A30" s="5" t="inlineStr">
        <is>
          <t>Prices with currency symbol fixed</t>
        </is>
      </c>
      <c r="B30" s="13" t="n">
        <v>3827</v>
      </c>
    </row>
    <row r="31">
      <c r="A31" s="5" t="inlineStr">
        <is>
          <t>Key duplicates removed</t>
        </is>
      </c>
      <c r="B31" s="13" t="n">
        <v>0</v>
      </c>
    </row>
    <row r="32">
      <c r="A32" s="5" t="inlineStr">
        <is>
          <t>Invalid prices nulled</t>
        </is>
      </c>
      <c r="B32" s="13" t="n">
        <v>169</v>
      </c>
    </row>
    <row r="33">
      <c r="A33" s="5" t="inlineStr">
        <is>
          <t>Invalid rows dropped</t>
        </is>
      </c>
      <c r="B33" s="13" t="n">
        <v>0</v>
      </c>
    </row>
    <row r="34">
      <c r="A34" s="5" t="inlineStr">
        <is>
          <t>Delays derived from times</t>
        </is>
      </c>
      <c r="B34" s="13" t="n">
        <v>1111</v>
      </c>
    </row>
    <row r="35">
      <c r="A35" s="5" t="inlineStr">
        <is>
          <t>Actual departures rebuilt</t>
        </is>
      </c>
      <c r="B35" s="13" t="n">
        <v>324</v>
      </c>
    </row>
    <row r="36">
      <c r="A36" s="5" t="inlineStr">
        <is>
          <t>Rows dropped no departure data</t>
        </is>
      </c>
      <c r="B36" s="13" t="n">
        <v>0</v>
      </c>
    </row>
    <row r="37">
      <c r="A37" s="5" t="inlineStr">
        <is>
          <t>Distance imputed from route</t>
        </is>
      </c>
      <c r="B37" s="13" t="n">
        <v>746</v>
      </c>
    </row>
    <row r="38">
      <c r="A38" s="5" t="inlineStr">
        <is>
          <t>Passengers imputed</t>
        </is>
      </c>
      <c r="B38" s="13" t="n">
        <v>593</v>
      </c>
    </row>
    <row r="39">
      <c r="A39" s="5" t="inlineStr">
        <is>
          <t>Ticket prices imputed</t>
        </is>
      </c>
      <c r="B39" s="13" t="n">
        <v>928</v>
      </c>
    </row>
    <row r="40">
      <c r="A40" s="5" t="inlineStr">
        <is>
          <t>Clean rows</t>
        </is>
      </c>
      <c r="B40" s="13" t="n">
        <v>76589</v>
      </c>
    </row>
    <row r="41">
      <c r="A41" s="5" t="inlineStr">
        <is>
          <t>Flights</t>
        </is>
      </c>
      <c r="B41" s="13" t="n">
        <v>27680</v>
      </c>
    </row>
  </sheetData>
  <mergeCells count="8">
    <mergeCell ref="B22:H22"/>
    <mergeCell ref="B17:H17"/>
    <mergeCell ref="B18:H18"/>
    <mergeCell ref="B21:H21"/>
    <mergeCell ref="B24:H24"/>
    <mergeCell ref="B19:H19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7" customWidth="1" min="4" max="4"/>
    <col width="19" customWidth="1" min="5" max="5"/>
    <col width="19" customWidth="1" min="6" max="6"/>
    <col width="19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Airline Performance</t>
        </is>
      </c>
    </row>
    <row r="2">
      <c r="A2" s="2" t="inlineStr">
        <is>
          <t>On-time rate and delays measured over operated flights.</t>
        </is>
      </c>
    </row>
    <row r="3"/>
    <row r="4">
      <c r="A4" s="3" t="inlineStr">
        <is>
          <t>Airline scorecard</t>
        </is>
      </c>
    </row>
    <row r="5" ht="30" customHeight="1">
      <c r="A5" s="14" t="inlineStr">
        <is>
          <t>Airline</t>
        </is>
      </c>
      <c r="B5" s="14" t="inlineStr">
        <is>
          <t>Flights</t>
        </is>
      </c>
      <c r="C5" s="14" t="inlineStr">
        <is>
          <t>On-Time Rate</t>
        </is>
      </c>
      <c r="D5" s="14" t="inlineStr">
        <is>
          <t>Delay Rate</t>
        </is>
      </c>
      <c r="E5" s="14" t="inlineStr">
        <is>
          <t>Avg Delay (min)</t>
        </is>
      </c>
      <c r="F5" s="14" t="inlineStr">
        <is>
          <t>Severe Delay Rate</t>
        </is>
      </c>
      <c r="G5" s="14" t="inlineStr">
        <is>
          <t>Cancellation Rate</t>
        </is>
      </c>
      <c r="H5" s="14" t="inlineStr">
        <is>
          <t>Passengers</t>
        </is>
      </c>
      <c r="I5" s="14" t="inlineStr">
        <is>
          <t>Revenue</t>
        </is>
      </c>
      <c r="J5" s="14" t="inlineStr">
        <is>
          <t>On-Time Rank</t>
        </is>
      </c>
    </row>
    <row r="6">
      <c r="A6" s="5" t="inlineStr">
        <is>
          <t>Northstar Airlines</t>
        </is>
      </c>
      <c r="B6" s="13" t="n">
        <v>5174</v>
      </c>
      <c r="C6" s="15" t="n">
        <v>0.7915</v>
      </c>
      <c r="D6" s="15" t="n">
        <v>0.2085</v>
      </c>
      <c r="E6" s="16" t="n">
        <v>10.62</v>
      </c>
      <c r="F6" s="15" t="n">
        <v>0.0518</v>
      </c>
      <c r="G6" s="15" t="n">
        <v>0.0228</v>
      </c>
      <c r="H6" s="13" t="n">
        <v>459025</v>
      </c>
      <c r="I6" s="17" t="n">
        <v>114104630.31</v>
      </c>
      <c r="J6" s="18" t="n">
        <v>1</v>
      </c>
    </row>
    <row r="7">
      <c r="A7" s="19" t="inlineStr">
        <is>
          <t>Meridian Airlines</t>
        </is>
      </c>
      <c r="B7" s="20" t="n">
        <v>4542</v>
      </c>
      <c r="C7" s="21" t="n">
        <v>0.7762</v>
      </c>
      <c r="D7" s="21" t="n">
        <v>0.2238</v>
      </c>
      <c r="E7" s="22" t="n">
        <v>11.22</v>
      </c>
      <c r="F7" s="21" t="n">
        <v>0.0555</v>
      </c>
      <c r="G7" s="21" t="n">
        <v>0.0242</v>
      </c>
      <c r="H7" s="20" t="n">
        <v>526702</v>
      </c>
      <c r="I7" s="23" t="n">
        <v>203485782.66</v>
      </c>
      <c r="J7" s="24" t="n">
        <v>2</v>
      </c>
    </row>
    <row r="8">
      <c r="A8" s="5" t="inlineStr">
        <is>
          <t>Pacific Crest Airways</t>
        </is>
      </c>
      <c r="B8" s="13" t="n">
        <v>5144</v>
      </c>
      <c r="C8" s="15" t="n">
        <v>0.7578</v>
      </c>
      <c r="D8" s="15" t="n">
        <v>0.2422</v>
      </c>
      <c r="E8" s="16" t="n">
        <v>13.02</v>
      </c>
      <c r="F8" s="15" t="n">
        <v>0.0704</v>
      </c>
      <c r="G8" s="15" t="n">
        <v>0.0282</v>
      </c>
      <c r="H8" s="13" t="n">
        <v>618059</v>
      </c>
      <c r="I8" s="17" t="n">
        <v>213592969.45</v>
      </c>
      <c r="J8" s="18" t="n">
        <v>3</v>
      </c>
    </row>
    <row r="9">
      <c r="A9" s="19" t="inlineStr">
        <is>
          <t>Bluewing Airways</t>
        </is>
      </c>
      <c r="B9" s="20" t="n">
        <v>4481</v>
      </c>
      <c r="C9" s="21" t="n">
        <v>0.7492</v>
      </c>
      <c r="D9" s="21" t="n">
        <v>0.2508</v>
      </c>
      <c r="E9" s="22" t="n">
        <v>13.32</v>
      </c>
      <c r="F9" s="21" t="n">
        <v>0.0696</v>
      </c>
      <c r="G9" s="21" t="n">
        <v>0.0344</v>
      </c>
      <c r="H9" s="20" t="n">
        <v>474185</v>
      </c>
      <c r="I9" s="23" t="n">
        <v>130164950.86</v>
      </c>
      <c r="J9" s="24" t="n">
        <v>4</v>
      </c>
    </row>
    <row r="10">
      <c r="A10" s="5" t="inlineStr">
        <is>
          <t>Coastal Jet</t>
        </is>
      </c>
      <c r="B10" s="13" t="n">
        <v>3829</v>
      </c>
      <c r="C10" s="15" t="n">
        <v>0.7042</v>
      </c>
      <c r="D10" s="15" t="n">
        <v>0.2958</v>
      </c>
      <c r="E10" s="16" t="n">
        <v>16.41</v>
      </c>
      <c r="F10" s="15" t="n">
        <v>0.09</v>
      </c>
      <c r="G10" s="15" t="n">
        <v>0.0394</v>
      </c>
      <c r="H10" s="13" t="n">
        <v>435591</v>
      </c>
      <c r="I10" s="17" t="n">
        <v>130604434.71</v>
      </c>
      <c r="J10" s="18" t="n">
        <v>5</v>
      </c>
    </row>
    <row r="11">
      <c r="A11" s="19" t="inlineStr">
        <is>
          <t>Summit Air</t>
        </is>
      </c>
      <c r="B11" s="20" t="n">
        <v>4510</v>
      </c>
      <c r="C11" s="21" t="n">
        <v>0.6775</v>
      </c>
      <c r="D11" s="21" t="n">
        <v>0.3225</v>
      </c>
      <c r="E11" s="22" t="n">
        <v>18.45</v>
      </c>
      <c r="F11" s="21" t="n">
        <v>0.1049</v>
      </c>
      <c r="G11" s="21" t="n">
        <v>0.0512</v>
      </c>
      <c r="H11" s="20" t="n">
        <v>476777</v>
      </c>
      <c r="I11" s="23" t="n">
        <v>128665011.04</v>
      </c>
      <c r="J11" s="24" t="n">
        <v>6</v>
      </c>
    </row>
    <row r="12"/>
    <row r="13"/>
    <row r="14">
      <c r="A14" s="3" t="inlineStr">
        <is>
          <t>Performance by time of day</t>
        </is>
      </c>
    </row>
    <row r="15" ht="30" customHeight="1">
      <c r="A15" s="14" t="inlineStr">
        <is>
          <t>Time Of Day</t>
        </is>
      </c>
      <c r="B15" s="14" t="inlineStr">
        <is>
          <t>Flights</t>
        </is>
      </c>
      <c r="C15" s="14" t="inlineStr">
        <is>
          <t>On-Time Rate</t>
        </is>
      </c>
      <c r="D15" s="14" t="inlineStr">
        <is>
          <t>Avg Delay (min)</t>
        </is>
      </c>
    </row>
    <row r="16">
      <c r="A16" s="5" t="inlineStr">
        <is>
          <t>Morning</t>
        </is>
      </c>
      <c r="B16" s="13" t="n">
        <v>10602</v>
      </c>
      <c r="C16" s="15" t="n">
        <v>0.7831</v>
      </c>
      <c r="D16" s="16" t="n">
        <v>11.06</v>
      </c>
    </row>
    <row r="17">
      <c r="A17" s="19" t="inlineStr">
        <is>
          <t>Afternoon</t>
        </is>
      </c>
      <c r="B17" s="20" t="n">
        <v>11287</v>
      </c>
      <c r="C17" s="21" t="n">
        <v>0.7323</v>
      </c>
      <c r="D17" s="22" t="n">
        <v>14.49</v>
      </c>
    </row>
    <row r="18">
      <c r="A18" s="5" t="inlineStr">
        <is>
          <t>Evening</t>
        </is>
      </c>
      <c r="B18" s="13" t="n">
        <v>5465</v>
      </c>
      <c r="C18" s="15" t="n">
        <v>0.697</v>
      </c>
      <c r="D18" s="16" t="n">
        <v>17.07</v>
      </c>
    </row>
    <row r="19">
      <c r="A19" s="19" t="inlineStr">
        <is>
          <t>Night</t>
        </is>
      </c>
      <c r="B19" s="20" t="n">
        <v>326</v>
      </c>
      <c r="C19" s="21" t="n">
        <v>0.7764</v>
      </c>
      <c r="D19" s="22" t="n">
        <v>13.39</v>
      </c>
    </row>
    <row r="20"/>
    <row r="21"/>
    <row r="22">
      <c r="A22" s="3" t="inlineStr">
        <is>
          <t>Monthly operational trends</t>
        </is>
      </c>
    </row>
    <row r="23" ht="30" customHeight="1">
      <c r="A23" s="14" t="inlineStr">
        <is>
          <t>Month</t>
        </is>
      </c>
      <c r="B23" s="14" t="inlineStr">
        <is>
          <t>Flights</t>
        </is>
      </c>
      <c r="C23" s="14" t="inlineStr">
        <is>
          <t>On-Time Rate</t>
        </is>
      </c>
      <c r="D23" s="14" t="inlineStr">
        <is>
          <t>Avg Delay (min)</t>
        </is>
      </c>
      <c r="E23" s="14" t="inlineStr">
        <is>
          <t>Cancellation Rate</t>
        </is>
      </c>
      <c r="F23" s="14" t="inlineStr">
        <is>
          <t>Passengers</t>
        </is>
      </c>
      <c r="G23" s="14" t="inlineStr">
        <is>
          <t>Revenue</t>
        </is>
      </c>
    </row>
    <row r="24">
      <c r="A24" s="5" t="inlineStr">
        <is>
          <t>2025-01</t>
        </is>
      </c>
      <c r="B24" s="13" t="n">
        <v>2342</v>
      </c>
      <c r="C24" s="15" t="n">
        <v>0.6941000000000001</v>
      </c>
      <c r="D24" s="16" t="n">
        <v>17.01</v>
      </c>
      <c r="E24" s="15" t="n">
        <v>0.0465</v>
      </c>
      <c r="F24" s="13" t="n">
        <v>217191</v>
      </c>
      <c r="G24" s="17" t="n">
        <v>57682170.02</v>
      </c>
    </row>
    <row r="25">
      <c r="A25" s="19" t="inlineStr">
        <is>
          <t>2025-02</t>
        </is>
      </c>
      <c r="B25" s="20" t="n">
        <v>2151</v>
      </c>
      <c r="C25" s="21" t="n">
        <v>0.7056</v>
      </c>
      <c r="D25" s="22" t="n">
        <v>16.3</v>
      </c>
      <c r="E25" s="21" t="n">
        <v>0.0321</v>
      </c>
      <c r="F25" s="20" t="n">
        <v>206746</v>
      </c>
      <c r="G25" s="23" t="n">
        <v>56084741.45</v>
      </c>
    </row>
    <row r="26">
      <c r="A26" s="5" t="inlineStr">
        <is>
          <t>2025-03</t>
        </is>
      </c>
      <c r="B26" s="13" t="n">
        <v>2332</v>
      </c>
      <c r="C26" s="15" t="n">
        <v>0.7897999999999999</v>
      </c>
      <c r="D26" s="16" t="n">
        <v>10.44</v>
      </c>
      <c r="E26" s="15" t="n">
        <v>0.0249</v>
      </c>
      <c r="F26" s="13" t="n">
        <v>252298</v>
      </c>
      <c r="G26" s="17" t="n">
        <v>75943874.20999999</v>
      </c>
    </row>
    <row r="27">
      <c r="A27" s="19" t="inlineStr">
        <is>
          <t>2025-04</t>
        </is>
      </c>
      <c r="B27" s="20" t="n">
        <v>2273</v>
      </c>
      <c r="C27" s="21" t="n">
        <v>0.8131</v>
      </c>
      <c r="D27" s="22" t="n">
        <v>9.33</v>
      </c>
      <c r="E27" s="21" t="n">
        <v>0.0136</v>
      </c>
      <c r="F27" s="20" t="n">
        <v>241147</v>
      </c>
      <c r="G27" s="23" t="n">
        <v>69975104.86</v>
      </c>
    </row>
    <row r="28">
      <c r="A28" s="5" t="inlineStr">
        <is>
          <t>2025-05</t>
        </is>
      </c>
      <c r="B28" s="13" t="n">
        <v>2341</v>
      </c>
      <c r="C28" s="15" t="n">
        <v>0.8004</v>
      </c>
      <c r="D28" s="16" t="n">
        <v>10.14</v>
      </c>
      <c r="E28" s="15" t="n">
        <v>0.0175</v>
      </c>
      <c r="F28" s="13" t="n">
        <v>261601</v>
      </c>
      <c r="G28" s="17" t="n">
        <v>80218104.81999999</v>
      </c>
    </row>
    <row r="29">
      <c r="A29" s="19" t="inlineStr">
        <is>
          <t>2025-06</t>
        </is>
      </c>
      <c r="B29" s="20" t="n">
        <v>2274</v>
      </c>
      <c r="C29" s="21" t="n">
        <v>0.6758</v>
      </c>
      <c r="D29" s="22" t="n">
        <v>19.17</v>
      </c>
      <c r="E29" s="21" t="n">
        <v>0.0519</v>
      </c>
      <c r="F29" s="20" t="n">
        <v>265870</v>
      </c>
      <c r="G29" s="23" t="n">
        <v>91529190.66</v>
      </c>
    </row>
    <row r="30">
      <c r="A30" s="5" t="inlineStr">
        <is>
          <t>2025-07</t>
        </is>
      </c>
      <c r="B30" s="13" t="n">
        <v>2366</v>
      </c>
      <c r="C30" s="15" t="n">
        <v>0.6518</v>
      </c>
      <c r="D30" s="16" t="n">
        <v>19.42</v>
      </c>
      <c r="E30" s="15" t="n">
        <v>0.0592</v>
      </c>
      <c r="F30" s="13" t="n">
        <v>280218</v>
      </c>
      <c r="G30" s="17" t="n">
        <v>97363087.01000001</v>
      </c>
    </row>
    <row r="31">
      <c r="A31" s="19" t="inlineStr">
        <is>
          <t>2025-08</t>
        </is>
      </c>
      <c r="B31" s="20" t="n">
        <v>2351</v>
      </c>
      <c r="C31" s="21" t="n">
        <v>0.7104</v>
      </c>
      <c r="D31" s="22" t="n">
        <v>15.55</v>
      </c>
      <c r="E31" s="21" t="n">
        <v>0.0379</v>
      </c>
      <c r="F31" s="20" t="n">
        <v>273008</v>
      </c>
      <c r="G31" s="23" t="n">
        <v>89131145.81</v>
      </c>
    </row>
    <row r="32">
      <c r="A32" s="5" t="inlineStr">
        <is>
          <t>2025-09</t>
        </is>
      </c>
      <c r="B32" s="13" t="n">
        <v>2280</v>
      </c>
      <c r="C32" s="15" t="n">
        <v>0.8175</v>
      </c>
      <c r="D32" s="16" t="n">
        <v>9.029999999999999</v>
      </c>
      <c r="E32" s="15" t="n">
        <v>0.0145</v>
      </c>
      <c r="F32" s="13" t="n">
        <v>233171</v>
      </c>
      <c r="G32" s="17" t="n">
        <v>64608838.86</v>
      </c>
    </row>
    <row r="33">
      <c r="A33" s="19" t="inlineStr">
        <is>
          <t>2025-10</t>
        </is>
      </c>
      <c r="B33" s="20" t="n">
        <v>2328</v>
      </c>
      <c r="C33" s="21" t="n">
        <v>0.8123</v>
      </c>
      <c r="D33" s="22" t="n">
        <v>8.779999999999999</v>
      </c>
      <c r="E33" s="21" t="n">
        <v>0.0185</v>
      </c>
      <c r="F33" s="20" t="n">
        <v>247308</v>
      </c>
      <c r="G33" s="23" t="n">
        <v>70861804.56999999</v>
      </c>
    </row>
    <row r="34">
      <c r="A34" s="5" t="inlineStr">
        <is>
          <t>2025-11</t>
        </is>
      </c>
      <c r="B34" s="13" t="n">
        <v>2296</v>
      </c>
      <c r="C34" s="15" t="n">
        <v>0.7931</v>
      </c>
      <c r="D34" s="16" t="n">
        <v>10.61</v>
      </c>
      <c r="E34" s="15" t="n">
        <v>0.0192</v>
      </c>
      <c r="F34" s="13" t="n">
        <v>250081</v>
      </c>
      <c r="G34" s="17" t="n">
        <v>77216398.09</v>
      </c>
    </row>
    <row r="35">
      <c r="A35" s="19" t="inlineStr">
        <is>
          <t>2025-12</t>
        </is>
      </c>
      <c r="B35" s="20" t="n">
        <v>2346</v>
      </c>
      <c r="C35" s="21" t="n">
        <v>0.6727</v>
      </c>
      <c r="D35" s="22" t="n">
        <v>18.79</v>
      </c>
      <c r="E35" s="21" t="n">
        <v>0.0571</v>
      </c>
      <c r="F35" s="20" t="n">
        <v>261700</v>
      </c>
      <c r="G35" s="23" t="n">
        <v>90003318.67</v>
      </c>
    </row>
  </sheetData>
  <conditionalFormatting sqref="C6:C11">
    <cfRule type="colorScale" priority="1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H6:H11">
    <cfRule type="dataBar" priority="2">
      <dataBar>
        <cfvo type="min"/>
        <cfvo type="max"/>
        <color rgb="009EC5F4"/>
      </dataBar>
    </cfRule>
  </conditionalFormatting>
  <conditionalFormatting sqref="I6:I11">
    <cfRule type="dataBar" priority="3">
      <dataBar>
        <cfvo type="min"/>
        <cfvo type="max"/>
        <color rgb="009EC5F4"/>
      </dataBar>
    </cfRule>
  </conditionalFormatting>
  <conditionalFormatting sqref="C16:C19">
    <cfRule type="colorScale" priority="4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C24:C35">
    <cfRule type="colorScale" priority="5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F24:F35">
    <cfRule type="dataBar" priority="6">
      <dataBar>
        <cfvo type="min"/>
        <cfvo type="max"/>
        <color rgb="009EC5F4"/>
      </dataBar>
    </cfRule>
  </conditionalFormatting>
  <conditionalFormatting sqref="G24:G35">
    <cfRule type="dataBar" priority="7">
      <dataBar>
        <cfvo type="min"/>
        <cfvo type="max"/>
        <color rgb="009EC5F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15" customWidth="1" min="4" max="4"/>
    <col width="22" customWidth="1" min="5" max="5"/>
    <col width="24" customWidth="1" min="6" max="6"/>
    <col width="17" customWidth="1" min="7" max="7"/>
    <col width="19" customWidth="1" min="8" max="8"/>
    <col width="17" customWidth="1" min="9" max="9"/>
    <col width="14" customWidth="1" min="10" max="10"/>
    <col width="19" customWidth="1" min="11" max="11"/>
    <col width="14" customWidth="1" min="12" max="12"/>
    <col width="16" customWidth="1" min="13" max="13"/>
  </cols>
  <sheetData>
    <row r="1">
      <c r="A1" s="1" t="inlineStr">
        <is>
          <t>Route Analysis</t>
        </is>
      </c>
    </row>
    <row r="2">
      <c r="A2" s="2" t="inlineStr">
        <is>
          <t>Directional routes (ORIGIN-DESTINATION), all carriers combined.</t>
        </is>
      </c>
    </row>
    <row r="3"/>
    <row r="4">
      <c r="A4" s="3" t="inlineStr">
        <is>
          <t>High demand, poor performance</t>
        </is>
      </c>
    </row>
    <row r="5">
      <c r="A5" s="2" t="inlineStr">
        <is>
          <t>Top passenger quartile routes with on-time rate below the network average.</t>
        </is>
      </c>
    </row>
    <row r="6" ht="30" customHeight="1">
      <c r="A6" s="14" t="inlineStr">
        <is>
          <t>Route</t>
        </is>
      </c>
      <c r="B6" s="14" t="inlineStr">
        <is>
          <t>Passengers</t>
        </is>
      </c>
      <c r="C6" s="14" t="inlineStr">
        <is>
          <t>Revenue</t>
        </is>
      </c>
      <c r="D6" s="14" t="inlineStr">
        <is>
          <t>On-Time Rate</t>
        </is>
      </c>
      <c r="E6" s="14" t="inlineStr">
        <is>
          <t>Network On-Time Rate</t>
        </is>
      </c>
      <c r="F6" s="14" t="inlineStr">
        <is>
          <t>On-Time Gap vs Network</t>
        </is>
      </c>
      <c r="G6" s="14" t="inlineStr">
        <is>
          <t>Avg Delay (min)</t>
        </is>
      </c>
      <c r="H6" s="14" t="inlineStr">
        <is>
          <t>Cancellation Rate</t>
        </is>
      </c>
    </row>
    <row r="7">
      <c r="A7" s="5" t="inlineStr">
        <is>
          <t>SFO-MIA</t>
        </is>
      </c>
      <c r="B7" s="13" t="n">
        <v>91829</v>
      </c>
      <c r="C7" s="17" t="n">
        <v>41269247.41</v>
      </c>
      <c r="D7" s="15" t="n">
        <v>0.7141</v>
      </c>
      <c r="E7" s="15" t="n">
        <v>0.7456</v>
      </c>
      <c r="F7" s="15" t="n">
        <v>-0.0316</v>
      </c>
      <c r="G7" s="16" t="n">
        <v>16.18</v>
      </c>
      <c r="H7" s="15" t="n">
        <v>0.0325</v>
      </c>
    </row>
    <row r="8">
      <c r="A8" s="19" t="inlineStr">
        <is>
          <t>ATL-PHX</t>
        </is>
      </c>
      <c r="B8" s="20" t="n">
        <v>90973</v>
      </c>
      <c r="C8" s="23" t="n">
        <v>28878308.94</v>
      </c>
      <c r="D8" s="21" t="n">
        <v>0.7237</v>
      </c>
      <c r="E8" s="21" t="n">
        <v>0.7456</v>
      </c>
      <c r="F8" s="21" t="n">
        <v>-0.0219</v>
      </c>
      <c r="G8" s="22" t="n">
        <v>14.18</v>
      </c>
      <c r="H8" s="21" t="n">
        <v>0.0298</v>
      </c>
    </row>
    <row r="9">
      <c r="A9" s="5" t="inlineStr">
        <is>
          <t>DEN-JFK</t>
        </is>
      </c>
      <c r="B9" s="13" t="n">
        <v>86362</v>
      </c>
      <c r="C9" s="17" t="n">
        <v>23141651.69</v>
      </c>
      <c r="D9" s="15" t="n">
        <v>0.7019</v>
      </c>
      <c r="E9" s="15" t="n">
        <v>0.7456</v>
      </c>
      <c r="F9" s="15" t="n">
        <v>-0.0437</v>
      </c>
      <c r="G9" s="16" t="n">
        <v>17.68</v>
      </c>
      <c r="H9" s="15" t="n">
        <v>0.0495</v>
      </c>
    </row>
    <row r="10">
      <c r="A10" s="19" t="inlineStr">
        <is>
          <t>SFO-SEA</t>
        </is>
      </c>
      <c r="B10" s="20" t="n">
        <v>83098</v>
      </c>
      <c r="C10" s="23" t="n">
        <v>15066827.3</v>
      </c>
      <c r="D10" s="21" t="n">
        <v>0.7134</v>
      </c>
      <c r="E10" s="21" t="n">
        <v>0.7456</v>
      </c>
      <c r="F10" s="21" t="n">
        <v>-0.0323</v>
      </c>
      <c r="G10" s="22" t="n">
        <v>15.37</v>
      </c>
      <c r="H10" s="21" t="n">
        <v>0.0327</v>
      </c>
    </row>
    <row r="11">
      <c r="A11" s="5" t="inlineStr">
        <is>
          <t>JFK-DEN</t>
        </is>
      </c>
      <c r="B11" s="13" t="n">
        <v>82318</v>
      </c>
      <c r="C11" s="17" t="n">
        <v>22166445.3</v>
      </c>
      <c r="D11" s="15" t="n">
        <v>0.547</v>
      </c>
      <c r="E11" s="15" t="n">
        <v>0.7456</v>
      </c>
      <c r="F11" s="15" t="n">
        <v>-0.1987</v>
      </c>
      <c r="G11" s="16" t="n">
        <v>26.48</v>
      </c>
      <c r="H11" s="15" t="n">
        <v>0.06469999999999999</v>
      </c>
    </row>
    <row r="12">
      <c r="A12" s="19" t="inlineStr">
        <is>
          <t>JFK-SFO</t>
        </is>
      </c>
      <c r="B12" s="20" t="n">
        <v>79711</v>
      </c>
      <c r="C12" s="23" t="n">
        <v>38634406.1</v>
      </c>
      <c r="D12" s="21" t="n">
        <v>0.6823</v>
      </c>
      <c r="E12" s="21" t="n">
        <v>0.7456</v>
      </c>
      <c r="F12" s="21" t="n">
        <v>-0.0633</v>
      </c>
      <c r="G12" s="22" t="n">
        <v>19.14</v>
      </c>
      <c r="H12" s="21" t="n">
        <v>0.0568</v>
      </c>
    </row>
    <row r="13">
      <c r="A13" s="5" t="inlineStr">
        <is>
          <t>ORD-MIA</t>
        </is>
      </c>
      <c r="B13" s="13" t="n">
        <v>74317</v>
      </c>
      <c r="C13" s="17" t="n">
        <v>20020941.82</v>
      </c>
      <c r="D13" s="15" t="n">
        <v>0.7109</v>
      </c>
      <c r="E13" s="15" t="n">
        <v>0.7456</v>
      </c>
      <c r="F13" s="15" t="n">
        <v>-0.0348</v>
      </c>
      <c r="G13" s="16" t="n">
        <v>14.67</v>
      </c>
      <c r="H13" s="15" t="n">
        <v>0.0399</v>
      </c>
    </row>
    <row r="14"/>
    <row r="15"/>
    <row r="16">
      <c r="A16" s="3" t="inlineStr">
        <is>
          <t>Top 10 delayed routes</t>
        </is>
      </c>
    </row>
    <row r="17">
      <c r="A17" s="2" t="inlineStr">
        <is>
          <t>Routes with 100+ flights.</t>
        </is>
      </c>
    </row>
    <row r="18" ht="30" customHeight="1">
      <c r="A18" s="14" t="inlineStr">
        <is>
          <t>Route</t>
        </is>
      </c>
      <c r="B18" s="14" t="inlineStr">
        <is>
          <t>Flights</t>
        </is>
      </c>
      <c r="C18" s="14" t="inlineStr">
        <is>
          <t>Avg Delay (min)</t>
        </is>
      </c>
      <c r="D18" s="14" t="inlineStr">
        <is>
          <t>On-Time Rate</t>
        </is>
      </c>
      <c r="E18" s="14" t="inlineStr">
        <is>
          <t>Cancellation Rate</t>
        </is>
      </c>
    </row>
    <row r="19">
      <c r="A19" s="5" t="inlineStr">
        <is>
          <t>ORD-LAS</t>
        </is>
      </c>
      <c r="B19" s="13" t="n">
        <v>318</v>
      </c>
      <c r="C19" s="16" t="n">
        <v>29.63</v>
      </c>
      <c r="D19" s="15" t="n">
        <v>0.4912</v>
      </c>
      <c r="E19" s="15" t="n">
        <v>0.1101</v>
      </c>
    </row>
    <row r="20">
      <c r="A20" s="19" t="inlineStr">
        <is>
          <t>JFK-DEN</t>
        </is>
      </c>
      <c r="B20" s="20" t="n">
        <v>649</v>
      </c>
      <c r="C20" s="22" t="n">
        <v>26.48</v>
      </c>
      <c r="D20" s="21" t="n">
        <v>0.547</v>
      </c>
      <c r="E20" s="21" t="n">
        <v>0.06469999999999999</v>
      </c>
    </row>
    <row r="21">
      <c r="A21" s="5" t="inlineStr">
        <is>
          <t>EWR-CLT</t>
        </is>
      </c>
      <c r="B21" s="13" t="n">
        <v>311</v>
      </c>
      <c r="C21" s="16" t="n">
        <v>24.08</v>
      </c>
      <c r="D21" s="15" t="n">
        <v>0.6049</v>
      </c>
      <c r="E21" s="15" t="n">
        <v>0.0804</v>
      </c>
    </row>
    <row r="22">
      <c r="A22" s="19" t="inlineStr">
        <is>
          <t>BOS-PHX</t>
        </is>
      </c>
      <c r="B22" s="20" t="n">
        <v>315</v>
      </c>
      <c r="C22" s="22" t="n">
        <v>23.49</v>
      </c>
      <c r="D22" s="21" t="n">
        <v>0.6162</v>
      </c>
      <c r="E22" s="21" t="n">
        <v>0.0571</v>
      </c>
    </row>
    <row r="23">
      <c r="A23" s="5" t="inlineStr">
        <is>
          <t>ORD-LAX</t>
        </is>
      </c>
      <c r="B23" s="13" t="n">
        <v>326</v>
      </c>
      <c r="C23" s="16" t="n">
        <v>23.48</v>
      </c>
      <c r="D23" s="15" t="n">
        <v>0.6052999999999999</v>
      </c>
      <c r="E23" s="15" t="n">
        <v>0.0675</v>
      </c>
    </row>
    <row r="24">
      <c r="A24" s="19" t="inlineStr">
        <is>
          <t>LAX-LAS</t>
        </is>
      </c>
      <c r="B24" s="20" t="n">
        <v>312</v>
      </c>
      <c r="C24" s="22" t="n">
        <v>23.2</v>
      </c>
      <c r="D24" s="21" t="n">
        <v>0.633</v>
      </c>
      <c r="E24" s="21" t="n">
        <v>0.0481</v>
      </c>
    </row>
    <row r="25">
      <c r="A25" s="5" t="inlineStr">
        <is>
          <t>EWR-BOS</t>
        </is>
      </c>
      <c r="B25" s="13" t="n">
        <v>325</v>
      </c>
      <c r="C25" s="16" t="n">
        <v>23.14</v>
      </c>
      <c r="D25" s="15" t="n">
        <v>0.6019</v>
      </c>
      <c r="E25" s="15" t="n">
        <v>0.0492</v>
      </c>
    </row>
    <row r="26">
      <c r="A26" s="19" t="inlineStr">
        <is>
          <t>JFK-PHX</t>
        </is>
      </c>
      <c r="B26" s="20" t="n">
        <v>312</v>
      </c>
      <c r="C26" s="22" t="n">
        <v>19.28</v>
      </c>
      <c r="D26" s="21" t="n">
        <v>0.6814</v>
      </c>
      <c r="E26" s="21" t="n">
        <v>0.0545</v>
      </c>
    </row>
    <row r="27">
      <c r="A27" s="5" t="inlineStr">
        <is>
          <t>JFK-SFO</t>
        </is>
      </c>
      <c r="B27" s="13" t="n">
        <v>634</v>
      </c>
      <c r="C27" s="16" t="n">
        <v>19.14</v>
      </c>
      <c r="D27" s="15" t="n">
        <v>0.6823</v>
      </c>
      <c r="E27" s="15" t="n">
        <v>0.0568</v>
      </c>
    </row>
    <row r="28">
      <c r="A28" s="19" t="inlineStr">
        <is>
          <t>LAS-ORD</t>
        </is>
      </c>
      <c r="B28" s="20" t="n">
        <v>327</v>
      </c>
      <c r="C28" s="22" t="n">
        <v>18.66</v>
      </c>
      <c r="D28" s="21" t="n">
        <v>0.6677</v>
      </c>
      <c r="E28" s="21" t="n">
        <v>0.0428</v>
      </c>
    </row>
    <row r="29"/>
    <row r="30"/>
    <row r="31">
      <c r="A31" s="3" t="inlineStr">
        <is>
          <t>All routes, ranked by revenue</t>
        </is>
      </c>
    </row>
    <row r="32" ht="30" customHeight="1">
      <c r="A32" s="14" t="inlineStr">
        <is>
          <t>Route</t>
        </is>
      </c>
      <c r="B32" s="14" t="inlineStr">
        <is>
          <t>Origin</t>
        </is>
      </c>
      <c r="C32" s="14" t="inlineStr">
        <is>
          <t>Destination</t>
        </is>
      </c>
      <c r="D32" s="14" t="inlineStr">
        <is>
          <t>Distance (mi)</t>
        </is>
      </c>
      <c r="E32" s="14" t="inlineStr">
        <is>
          <t>Flights</t>
        </is>
      </c>
      <c r="F32" s="14" t="inlineStr">
        <is>
          <t>Airlines</t>
        </is>
      </c>
      <c r="G32" s="14" t="inlineStr">
        <is>
          <t>Passengers</t>
        </is>
      </c>
      <c r="H32" s="14" t="inlineStr">
        <is>
          <t>Revenue</t>
        </is>
      </c>
      <c r="I32" s="14" t="inlineStr">
        <is>
          <t>Avg Delay (min)</t>
        </is>
      </c>
      <c r="J32" s="14" t="inlineStr">
        <is>
          <t>On-Time Rate</t>
        </is>
      </c>
      <c r="K32" s="14" t="inlineStr">
        <is>
          <t>Cancellation Rate</t>
        </is>
      </c>
      <c r="L32" s="14" t="inlineStr">
        <is>
          <t>Revenue Rank</t>
        </is>
      </c>
      <c r="M32" s="14" t="inlineStr">
        <is>
          <t>Passenger Rank</t>
        </is>
      </c>
    </row>
    <row r="33">
      <c r="A33" s="5" t="inlineStr">
        <is>
          <t>MIA-SFO</t>
        </is>
      </c>
      <c r="B33" s="5" t="inlineStr">
        <is>
          <t>MIA</t>
        </is>
      </c>
      <c r="C33" s="5" t="inlineStr">
        <is>
          <t>SFO</t>
        </is>
      </c>
      <c r="D33" s="13" t="n">
        <v>2581</v>
      </c>
      <c r="E33" s="13" t="n">
        <v>645</v>
      </c>
      <c r="F33" s="13" t="n">
        <v>2</v>
      </c>
      <c r="G33" s="13" t="n">
        <v>92515</v>
      </c>
      <c r="H33" s="17" t="n">
        <v>41302049.13</v>
      </c>
      <c r="I33" s="16" t="n">
        <v>10.69</v>
      </c>
      <c r="J33" s="15" t="n">
        <v>0.7823</v>
      </c>
      <c r="K33" s="15" t="n">
        <v>0.0171</v>
      </c>
      <c r="L33" s="17" t="n">
        <v>1</v>
      </c>
      <c r="M33" s="18" t="n">
        <v>1</v>
      </c>
    </row>
    <row r="34">
      <c r="A34" s="19" t="inlineStr">
        <is>
          <t>SFO-MIA</t>
        </is>
      </c>
      <c r="B34" s="19" t="inlineStr">
        <is>
          <t>SFO</t>
        </is>
      </c>
      <c r="C34" s="19" t="inlineStr">
        <is>
          <t>MIA</t>
        </is>
      </c>
      <c r="D34" s="20" t="n">
        <v>2581</v>
      </c>
      <c r="E34" s="20" t="n">
        <v>647</v>
      </c>
      <c r="F34" s="20" t="n">
        <v>2</v>
      </c>
      <c r="G34" s="20" t="n">
        <v>91829</v>
      </c>
      <c r="H34" s="23" t="n">
        <v>41269247.41</v>
      </c>
      <c r="I34" s="22" t="n">
        <v>16.18</v>
      </c>
      <c r="J34" s="21" t="n">
        <v>0.7141</v>
      </c>
      <c r="K34" s="21" t="n">
        <v>0.0325</v>
      </c>
      <c r="L34" s="23" t="n">
        <v>2</v>
      </c>
      <c r="M34" s="24" t="n">
        <v>2</v>
      </c>
    </row>
    <row r="35">
      <c r="A35" s="5" t="inlineStr">
        <is>
          <t>SFO-JFK</t>
        </is>
      </c>
      <c r="B35" s="5" t="inlineStr">
        <is>
          <t>SFO</t>
        </is>
      </c>
      <c r="C35" s="5" t="inlineStr">
        <is>
          <t>JFK</t>
        </is>
      </c>
      <c r="D35" s="13" t="n">
        <v>2580</v>
      </c>
      <c r="E35" s="13" t="n">
        <v>647</v>
      </c>
      <c r="F35" s="13" t="n">
        <v>2</v>
      </c>
      <c r="G35" s="13" t="n">
        <v>84040</v>
      </c>
      <c r="H35" s="17" t="n">
        <v>41210665.8</v>
      </c>
      <c r="I35" s="16" t="n">
        <v>9.390000000000001</v>
      </c>
      <c r="J35" s="15" t="n">
        <v>0.7917</v>
      </c>
      <c r="K35" s="15" t="n">
        <v>0.0278</v>
      </c>
      <c r="L35" s="17" t="n">
        <v>3</v>
      </c>
      <c r="M35" s="18" t="n">
        <v>7</v>
      </c>
    </row>
    <row r="36">
      <c r="A36" s="19" t="inlineStr">
        <is>
          <t>JFK-SFO</t>
        </is>
      </c>
      <c r="B36" s="19" t="inlineStr">
        <is>
          <t>JFK</t>
        </is>
      </c>
      <c r="C36" s="19" t="inlineStr">
        <is>
          <t>SFO</t>
        </is>
      </c>
      <c r="D36" s="20" t="n">
        <v>2580</v>
      </c>
      <c r="E36" s="20" t="n">
        <v>634</v>
      </c>
      <c r="F36" s="20" t="n">
        <v>2</v>
      </c>
      <c r="G36" s="20" t="n">
        <v>79711</v>
      </c>
      <c r="H36" s="23" t="n">
        <v>38634406.1</v>
      </c>
      <c r="I36" s="22" t="n">
        <v>19.14</v>
      </c>
      <c r="J36" s="21" t="n">
        <v>0.6823</v>
      </c>
      <c r="K36" s="21" t="n">
        <v>0.0568</v>
      </c>
      <c r="L36" s="23" t="n">
        <v>4</v>
      </c>
      <c r="M36" s="24" t="n">
        <v>12</v>
      </c>
    </row>
    <row r="37">
      <c r="A37" s="5" t="inlineStr">
        <is>
          <t>CLT-SEA</t>
        </is>
      </c>
      <c r="B37" s="5" t="inlineStr">
        <is>
          <t>CLT</t>
        </is>
      </c>
      <c r="C37" s="5" t="inlineStr">
        <is>
          <t>SEA</t>
        </is>
      </c>
      <c r="D37" s="13" t="n">
        <v>2275</v>
      </c>
      <c r="E37" s="13" t="n">
        <v>650</v>
      </c>
      <c r="F37" s="13" t="n">
        <v>1</v>
      </c>
      <c r="G37" s="13" t="n">
        <v>81552</v>
      </c>
      <c r="H37" s="17" t="n">
        <v>36074506.27</v>
      </c>
      <c r="I37" s="16" t="n">
        <v>12.92</v>
      </c>
      <c r="J37" s="15" t="n">
        <v>0.7575</v>
      </c>
      <c r="K37" s="15" t="n">
        <v>0.0292</v>
      </c>
      <c r="L37" s="17" t="n">
        <v>5</v>
      </c>
      <c r="M37" s="18" t="n">
        <v>10</v>
      </c>
    </row>
    <row r="38">
      <c r="A38" s="19" t="inlineStr">
        <is>
          <t>SEA-CLT</t>
        </is>
      </c>
      <c r="B38" s="19" t="inlineStr">
        <is>
          <t>SEA</t>
        </is>
      </c>
      <c r="C38" s="19" t="inlineStr">
        <is>
          <t>CLT</t>
        </is>
      </c>
      <c r="D38" s="20" t="n">
        <v>2275</v>
      </c>
      <c r="E38" s="20" t="n">
        <v>641</v>
      </c>
      <c r="F38" s="20" t="n">
        <v>1</v>
      </c>
      <c r="G38" s="20" t="n">
        <v>81180</v>
      </c>
      <c r="H38" s="23" t="n">
        <v>35671271.05</v>
      </c>
      <c r="I38" s="22" t="n">
        <v>9.18</v>
      </c>
      <c r="J38" s="21" t="n">
        <v>0.8127</v>
      </c>
      <c r="K38" s="21" t="n">
        <v>0.0172</v>
      </c>
      <c r="L38" s="23" t="n">
        <v>6</v>
      </c>
      <c r="M38" s="24" t="n">
        <v>11</v>
      </c>
    </row>
    <row r="39">
      <c r="A39" s="5" t="inlineStr">
        <is>
          <t>ATL-PHX</t>
        </is>
      </c>
      <c r="B39" s="5" t="inlineStr">
        <is>
          <t>ATL</t>
        </is>
      </c>
      <c r="C39" s="5" t="inlineStr">
        <is>
          <t>PHX</t>
        </is>
      </c>
      <c r="D39" s="13" t="n">
        <v>1584</v>
      </c>
      <c r="E39" s="13" t="n">
        <v>638</v>
      </c>
      <c r="F39" s="13" t="n">
        <v>1</v>
      </c>
      <c r="G39" s="13" t="n">
        <v>90973</v>
      </c>
      <c r="H39" s="17" t="n">
        <v>28878308.94</v>
      </c>
      <c r="I39" s="16" t="n">
        <v>14.18</v>
      </c>
      <c r="J39" s="15" t="n">
        <v>0.7237</v>
      </c>
      <c r="K39" s="15" t="n">
        <v>0.0298</v>
      </c>
      <c r="L39" s="17" t="n">
        <v>7</v>
      </c>
      <c r="M39" s="18" t="n">
        <v>3</v>
      </c>
    </row>
    <row r="40">
      <c r="A40" s="19" t="inlineStr">
        <is>
          <t>PHX-ATL</t>
        </is>
      </c>
      <c r="B40" s="19" t="inlineStr">
        <is>
          <t>PHX</t>
        </is>
      </c>
      <c r="C40" s="19" t="inlineStr">
        <is>
          <t>ATL</t>
        </is>
      </c>
      <c r="D40" s="20" t="n">
        <v>1584</v>
      </c>
      <c r="E40" s="20" t="n">
        <v>618</v>
      </c>
      <c r="F40" s="20" t="n">
        <v>1</v>
      </c>
      <c r="G40" s="20" t="n">
        <v>89339</v>
      </c>
      <c r="H40" s="23" t="n">
        <v>28548196.43</v>
      </c>
      <c r="I40" s="22" t="n">
        <v>7.38</v>
      </c>
      <c r="J40" s="21" t="n">
        <v>0.8347</v>
      </c>
      <c r="K40" s="21" t="n">
        <v>0.021</v>
      </c>
      <c r="L40" s="23" t="n">
        <v>8</v>
      </c>
      <c r="M40" s="24" t="n">
        <v>4</v>
      </c>
    </row>
    <row r="41">
      <c r="A41" s="5" t="inlineStr">
        <is>
          <t>LAX-EWR</t>
        </is>
      </c>
      <c r="B41" s="5" t="inlineStr">
        <is>
          <t>LAX</t>
        </is>
      </c>
      <c r="C41" s="5" t="inlineStr">
        <is>
          <t>EWR</t>
        </is>
      </c>
      <c r="D41" s="13" t="n">
        <v>2449</v>
      </c>
      <c r="E41" s="13" t="n">
        <v>327</v>
      </c>
      <c r="F41" s="13" t="n">
        <v>1</v>
      </c>
      <c r="G41" s="13" t="n">
        <v>46668</v>
      </c>
      <c r="H41" s="17" t="n">
        <v>24139442.96</v>
      </c>
      <c r="I41" s="16" t="n">
        <v>12.53</v>
      </c>
      <c r="J41" s="15" t="n">
        <v>0.7826</v>
      </c>
      <c r="K41" s="15" t="n">
        <v>0.0153</v>
      </c>
      <c r="L41" s="17" t="n">
        <v>9</v>
      </c>
      <c r="M41" s="18" t="n">
        <v>21</v>
      </c>
    </row>
    <row r="42">
      <c r="A42" s="19" t="inlineStr">
        <is>
          <t>EWR-LAX</t>
        </is>
      </c>
      <c r="B42" s="19" t="inlineStr">
        <is>
          <t>EWR</t>
        </is>
      </c>
      <c r="C42" s="19" t="inlineStr">
        <is>
          <t>LAX</t>
        </is>
      </c>
      <c r="D42" s="20" t="n">
        <v>2449</v>
      </c>
      <c r="E42" s="20" t="n">
        <v>322</v>
      </c>
      <c r="F42" s="20" t="n">
        <v>1</v>
      </c>
      <c r="G42" s="20" t="n">
        <v>44681</v>
      </c>
      <c r="H42" s="23" t="n">
        <v>23242145.73</v>
      </c>
      <c r="I42" s="22" t="n">
        <v>11.38</v>
      </c>
      <c r="J42" s="21" t="n">
        <v>0.7796</v>
      </c>
      <c r="K42" s="21" t="n">
        <v>0.028</v>
      </c>
      <c r="L42" s="23" t="n">
        <v>10</v>
      </c>
      <c r="M42" s="24" t="n">
        <v>22</v>
      </c>
    </row>
    <row r="43">
      <c r="A43" s="5" t="inlineStr">
        <is>
          <t>LAS-JFK</t>
        </is>
      </c>
      <c r="B43" s="5" t="inlineStr">
        <is>
          <t>LAS</t>
        </is>
      </c>
      <c r="C43" s="5" t="inlineStr">
        <is>
          <t>JFK</t>
        </is>
      </c>
      <c r="D43" s="13" t="n">
        <v>2243</v>
      </c>
      <c r="E43" s="13" t="n">
        <v>328</v>
      </c>
      <c r="F43" s="13" t="n">
        <v>1</v>
      </c>
      <c r="G43" s="13" t="n">
        <v>48008</v>
      </c>
      <c r="H43" s="17" t="n">
        <v>23197567.13</v>
      </c>
      <c r="I43" s="16" t="n">
        <v>10.49</v>
      </c>
      <c r="J43" s="15" t="n">
        <v>0.7695</v>
      </c>
      <c r="K43" s="15" t="n">
        <v>0.0213</v>
      </c>
      <c r="L43" s="17" t="n">
        <v>11</v>
      </c>
      <c r="M43" s="18" t="n">
        <v>19</v>
      </c>
    </row>
    <row r="44">
      <c r="A44" s="19" t="inlineStr">
        <is>
          <t>DEN-JFK</t>
        </is>
      </c>
      <c r="B44" s="19" t="inlineStr">
        <is>
          <t>DEN</t>
        </is>
      </c>
      <c r="C44" s="19" t="inlineStr">
        <is>
          <t>JFK</t>
        </is>
      </c>
      <c r="D44" s="20" t="n">
        <v>1621</v>
      </c>
      <c r="E44" s="20" t="n">
        <v>667</v>
      </c>
      <c r="F44" s="20" t="n">
        <v>1</v>
      </c>
      <c r="G44" s="20" t="n">
        <v>86362</v>
      </c>
      <c r="H44" s="23" t="n">
        <v>23141651.69</v>
      </c>
      <c r="I44" s="22" t="n">
        <v>17.68</v>
      </c>
      <c r="J44" s="21" t="n">
        <v>0.7019</v>
      </c>
      <c r="K44" s="21" t="n">
        <v>0.0495</v>
      </c>
      <c r="L44" s="23" t="n">
        <v>12</v>
      </c>
      <c r="M44" s="24" t="n">
        <v>5</v>
      </c>
    </row>
    <row r="45">
      <c r="A45" s="5" t="inlineStr">
        <is>
          <t>JFK-LAS</t>
        </is>
      </c>
      <c r="B45" s="5" t="inlineStr">
        <is>
          <t>JFK</t>
        </is>
      </c>
      <c r="C45" s="5" t="inlineStr">
        <is>
          <t>LAS</t>
        </is>
      </c>
      <c r="D45" s="13" t="n">
        <v>2243</v>
      </c>
      <c r="E45" s="13" t="n">
        <v>321</v>
      </c>
      <c r="F45" s="13" t="n">
        <v>1</v>
      </c>
      <c r="G45" s="13" t="n">
        <v>46855</v>
      </c>
      <c r="H45" s="17" t="n">
        <v>22360434.2</v>
      </c>
      <c r="I45" s="16" t="n">
        <v>10.15</v>
      </c>
      <c r="J45" s="15" t="n">
        <v>0.8</v>
      </c>
      <c r="K45" s="15" t="n">
        <v>0.0187</v>
      </c>
      <c r="L45" s="17" t="n">
        <v>13</v>
      </c>
      <c r="M45" s="18" t="n">
        <v>20</v>
      </c>
    </row>
    <row r="46">
      <c r="A46" s="19" t="inlineStr">
        <is>
          <t>JFK-DEN</t>
        </is>
      </c>
      <c r="B46" s="19" t="inlineStr">
        <is>
          <t>JFK</t>
        </is>
      </c>
      <c r="C46" s="19" t="inlineStr">
        <is>
          <t>DEN</t>
        </is>
      </c>
      <c r="D46" s="20" t="n">
        <v>1621</v>
      </c>
      <c r="E46" s="20" t="n">
        <v>649</v>
      </c>
      <c r="F46" s="20" t="n">
        <v>1</v>
      </c>
      <c r="G46" s="20" t="n">
        <v>82318</v>
      </c>
      <c r="H46" s="23" t="n">
        <v>22166445.3</v>
      </c>
      <c r="I46" s="22" t="n">
        <v>26.48</v>
      </c>
      <c r="J46" s="21" t="n">
        <v>0.547</v>
      </c>
      <c r="K46" s="21" t="n">
        <v>0.06469999999999999</v>
      </c>
      <c r="L46" s="23" t="n">
        <v>14</v>
      </c>
      <c r="M46" s="24" t="n">
        <v>9</v>
      </c>
    </row>
    <row r="47">
      <c r="A47" s="5" t="inlineStr">
        <is>
          <t>LAS-MSP</t>
        </is>
      </c>
      <c r="B47" s="5" t="inlineStr">
        <is>
          <t>LAS</t>
        </is>
      </c>
      <c r="C47" s="5" t="inlineStr">
        <is>
          <t>MSP</t>
        </is>
      </c>
      <c r="D47" s="13" t="n">
        <v>1297</v>
      </c>
      <c r="E47" s="13" t="n">
        <v>640</v>
      </c>
      <c r="F47" s="13" t="n">
        <v>1</v>
      </c>
      <c r="G47" s="13" t="n">
        <v>75611</v>
      </c>
      <c r="H47" s="17" t="n">
        <v>22045874.33</v>
      </c>
      <c r="I47" s="16" t="n">
        <v>7.96</v>
      </c>
      <c r="J47" s="15" t="n">
        <v>0.8349</v>
      </c>
      <c r="K47" s="15" t="n">
        <v>0.0156</v>
      </c>
      <c r="L47" s="17" t="n">
        <v>15</v>
      </c>
      <c r="M47" s="18" t="n">
        <v>13</v>
      </c>
    </row>
    <row r="48">
      <c r="A48" s="19" t="inlineStr">
        <is>
          <t>MSP-LAS</t>
        </is>
      </c>
      <c r="B48" s="19" t="inlineStr">
        <is>
          <t>MSP</t>
        </is>
      </c>
      <c r="C48" s="19" t="inlineStr">
        <is>
          <t>LAS</t>
        </is>
      </c>
      <c r="D48" s="20" t="n">
        <v>1297</v>
      </c>
      <c r="E48" s="20" t="n">
        <v>636</v>
      </c>
      <c r="F48" s="20" t="n">
        <v>1</v>
      </c>
      <c r="G48" s="20" t="n">
        <v>74631</v>
      </c>
      <c r="H48" s="23" t="n">
        <v>21826195.51</v>
      </c>
      <c r="I48" s="22" t="n">
        <v>9.199999999999999</v>
      </c>
      <c r="J48" s="21" t="n">
        <v>0.8135</v>
      </c>
      <c r="K48" s="21" t="n">
        <v>0.022</v>
      </c>
      <c r="L48" s="23" t="n">
        <v>16</v>
      </c>
      <c r="M48" s="24" t="n">
        <v>14</v>
      </c>
    </row>
    <row r="49">
      <c r="A49" s="5" t="inlineStr">
        <is>
          <t>ORD-MIA</t>
        </is>
      </c>
      <c r="B49" s="5" t="inlineStr">
        <is>
          <t>ORD</t>
        </is>
      </c>
      <c r="C49" s="5" t="inlineStr">
        <is>
          <t>MIA</t>
        </is>
      </c>
      <c r="D49" s="13" t="n">
        <v>1199</v>
      </c>
      <c r="E49" s="13" t="n">
        <v>652</v>
      </c>
      <c r="F49" s="13" t="n">
        <v>2</v>
      </c>
      <c r="G49" s="13" t="n">
        <v>74317</v>
      </c>
      <c r="H49" s="17" t="n">
        <v>20020941.82</v>
      </c>
      <c r="I49" s="16" t="n">
        <v>14.67</v>
      </c>
      <c r="J49" s="15" t="n">
        <v>0.7109</v>
      </c>
      <c r="K49" s="15" t="n">
        <v>0.0399</v>
      </c>
      <c r="L49" s="17" t="n">
        <v>17</v>
      </c>
      <c r="M49" s="18" t="n">
        <v>15</v>
      </c>
    </row>
    <row r="50">
      <c r="A50" s="19" t="inlineStr">
        <is>
          <t>MIA-ORD</t>
        </is>
      </c>
      <c r="B50" s="19" t="inlineStr">
        <is>
          <t>MIA</t>
        </is>
      </c>
      <c r="C50" s="19" t="inlineStr">
        <is>
          <t>ORD</t>
        </is>
      </c>
      <c r="D50" s="20" t="n">
        <v>1199</v>
      </c>
      <c r="E50" s="20" t="n">
        <v>644</v>
      </c>
      <c r="F50" s="20" t="n">
        <v>2</v>
      </c>
      <c r="G50" s="20" t="n">
        <v>73953</v>
      </c>
      <c r="H50" s="23" t="n">
        <v>19899642.22</v>
      </c>
      <c r="I50" s="22" t="n">
        <v>12.7</v>
      </c>
      <c r="J50" s="21" t="n">
        <v>0.7652</v>
      </c>
      <c r="K50" s="21" t="n">
        <v>0.028</v>
      </c>
      <c r="L50" s="23" t="n">
        <v>18</v>
      </c>
      <c r="M50" s="24" t="n">
        <v>16</v>
      </c>
    </row>
    <row r="51">
      <c r="A51" s="5" t="inlineStr">
        <is>
          <t>MIA-DFW</t>
        </is>
      </c>
      <c r="B51" s="5" t="inlineStr">
        <is>
          <t>MIA</t>
        </is>
      </c>
      <c r="C51" s="5" t="inlineStr">
        <is>
          <t>DFW</t>
        </is>
      </c>
      <c r="D51" s="13" t="n">
        <v>1120</v>
      </c>
      <c r="E51" s="13" t="n">
        <v>643</v>
      </c>
      <c r="F51" s="13" t="n">
        <v>1</v>
      </c>
      <c r="G51" s="13" t="n">
        <v>70441</v>
      </c>
      <c r="H51" s="17" t="n">
        <v>19785360.03</v>
      </c>
      <c r="I51" s="16" t="n">
        <v>10.42</v>
      </c>
      <c r="J51" s="15" t="n">
        <v>0.7823</v>
      </c>
      <c r="K51" s="15" t="n">
        <v>0.014</v>
      </c>
      <c r="L51" s="17" t="n">
        <v>19</v>
      </c>
      <c r="M51" s="18" t="n">
        <v>17</v>
      </c>
    </row>
    <row r="52">
      <c r="A52" s="19" t="inlineStr">
        <is>
          <t>DFW-MIA</t>
        </is>
      </c>
      <c r="B52" s="19" t="inlineStr">
        <is>
          <t>DFW</t>
        </is>
      </c>
      <c r="C52" s="19" t="inlineStr">
        <is>
          <t>MIA</t>
        </is>
      </c>
      <c r="D52" s="20" t="n">
        <v>1120</v>
      </c>
      <c r="E52" s="20" t="n">
        <v>636</v>
      </c>
      <c r="F52" s="20" t="n">
        <v>1</v>
      </c>
      <c r="G52" s="20" t="n">
        <v>68658</v>
      </c>
      <c r="H52" s="23" t="n">
        <v>19320666.34</v>
      </c>
      <c r="I52" s="22" t="n">
        <v>11.59</v>
      </c>
      <c r="J52" s="21" t="n">
        <v>0.7691</v>
      </c>
      <c r="K52" s="21" t="n">
        <v>0.033</v>
      </c>
      <c r="L52" s="23" t="n">
        <v>20</v>
      </c>
      <c r="M52" s="24" t="n">
        <v>18</v>
      </c>
    </row>
    <row r="53">
      <c r="A53" s="5" t="inlineStr">
        <is>
          <t>SFO-CLT</t>
        </is>
      </c>
      <c r="B53" s="5" t="inlineStr">
        <is>
          <t>SFO</t>
        </is>
      </c>
      <c r="C53" s="5" t="inlineStr">
        <is>
          <t>CLT</t>
        </is>
      </c>
      <c r="D53" s="13" t="n">
        <v>2292</v>
      </c>
      <c r="E53" s="13" t="n">
        <v>324</v>
      </c>
      <c r="F53" s="13" t="n">
        <v>1</v>
      </c>
      <c r="G53" s="13" t="n">
        <v>43797</v>
      </c>
      <c r="H53" s="17" t="n">
        <v>18703325.31</v>
      </c>
      <c r="I53" s="16" t="n">
        <v>16.43</v>
      </c>
      <c r="J53" s="15" t="n">
        <v>0.7089</v>
      </c>
      <c r="K53" s="15" t="n">
        <v>0.0247</v>
      </c>
      <c r="L53" s="17" t="n">
        <v>21</v>
      </c>
      <c r="M53" s="18" t="n">
        <v>24</v>
      </c>
    </row>
    <row r="54">
      <c r="A54" s="19" t="inlineStr">
        <is>
          <t>CLT-SFO</t>
        </is>
      </c>
      <c r="B54" s="19" t="inlineStr">
        <is>
          <t>CLT</t>
        </is>
      </c>
      <c r="C54" s="19" t="inlineStr">
        <is>
          <t>SFO</t>
        </is>
      </c>
      <c r="D54" s="20" t="n">
        <v>2292</v>
      </c>
      <c r="E54" s="20" t="n">
        <v>307</v>
      </c>
      <c r="F54" s="20" t="n">
        <v>1</v>
      </c>
      <c r="G54" s="20" t="n">
        <v>41687</v>
      </c>
      <c r="H54" s="23" t="n">
        <v>17723657.61</v>
      </c>
      <c r="I54" s="22" t="n">
        <v>11.36</v>
      </c>
      <c r="J54" s="21" t="n">
        <v>0.7781</v>
      </c>
      <c r="K54" s="21" t="n">
        <v>0.0163</v>
      </c>
      <c r="L54" s="23" t="n">
        <v>22</v>
      </c>
      <c r="M54" s="24" t="n">
        <v>29</v>
      </c>
    </row>
    <row r="55">
      <c r="A55" s="5" t="inlineStr">
        <is>
          <t>SEA-SFO</t>
        </is>
      </c>
      <c r="B55" s="5" t="inlineStr">
        <is>
          <t>SEA</t>
        </is>
      </c>
      <c r="C55" s="5" t="inlineStr">
        <is>
          <t>SFO</t>
        </is>
      </c>
      <c r="D55" s="13" t="n">
        <v>679</v>
      </c>
      <c r="E55" s="13" t="n">
        <v>641</v>
      </c>
      <c r="F55" s="13" t="n">
        <v>1</v>
      </c>
      <c r="G55" s="13" t="n">
        <v>84465</v>
      </c>
      <c r="H55" s="17" t="n">
        <v>15431798.07</v>
      </c>
      <c r="I55" s="16" t="n">
        <v>9.19</v>
      </c>
      <c r="J55" s="15" t="n">
        <v>0.8362000000000001</v>
      </c>
      <c r="K55" s="15" t="n">
        <v>0.0187</v>
      </c>
      <c r="L55" s="17" t="n">
        <v>23</v>
      </c>
      <c r="M55" s="18" t="n">
        <v>6</v>
      </c>
    </row>
    <row r="56">
      <c r="A56" s="19" t="inlineStr">
        <is>
          <t>SFO-SEA</t>
        </is>
      </c>
      <c r="B56" s="19" t="inlineStr">
        <is>
          <t>SFO</t>
        </is>
      </c>
      <c r="C56" s="19" t="inlineStr">
        <is>
          <t>SEA</t>
        </is>
      </c>
      <c r="D56" s="20" t="n">
        <v>679</v>
      </c>
      <c r="E56" s="20" t="n">
        <v>642</v>
      </c>
      <c r="F56" s="20" t="n">
        <v>1</v>
      </c>
      <c r="G56" s="20" t="n">
        <v>83098</v>
      </c>
      <c r="H56" s="23" t="n">
        <v>15066827.3</v>
      </c>
      <c r="I56" s="22" t="n">
        <v>15.37</v>
      </c>
      <c r="J56" s="21" t="n">
        <v>0.7134</v>
      </c>
      <c r="K56" s="21" t="n">
        <v>0.0327</v>
      </c>
      <c r="L56" s="23" t="n">
        <v>24</v>
      </c>
      <c r="M56" s="24" t="n">
        <v>8</v>
      </c>
    </row>
    <row r="57">
      <c r="A57" s="5" t="inlineStr">
        <is>
          <t>PHX-JFK</t>
        </is>
      </c>
      <c r="B57" s="5" t="inlineStr">
        <is>
          <t>PHX</t>
        </is>
      </c>
      <c r="C57" s="5" t="inlineStr">
        <is>
          <t>JFK</t>
        </is>
      </c>
      <c r="D57" s="13" t="n">
        <v>2149</v>
      </c>
      <c r="E57" s="13" t="n">
        <v>313</v>
      </c>
      <c r="F57" s="13" t="n">
        <v>1</v>
      </c>
      <c r="G57" s="13" t="n">
        <v>43121</v>
      </c>
      <c r="H57" s="17" t="n">
        <v>14533644.2</v>
      </c>
      <c r="I57" s="16" t="n">
        <v>9.91</v>
      </c>
      <c r="J57" s="15" t="n">
        <v>0.7922</v>
      </c>
      <c r="K57" s="15" t="n">
        <v>0.016</v>
      </c>
      <c r="L57" s="17" t="n">
        <v>25</v>
      </c>
      <c r="M57" s="18" t="n">
        <v>27</v>
      </c>
    </row>
    <row r="58">
      <c r="A58" s="19" t="inlineStr">
        <is>
          <t>LAX-ORD</t>
        </is>
      </c>
      <c r="B58" s="19" t="inlineStr">
        <is>
          <t>LAX</t>
        </is>
      </c>
      <c r="C58" s="19" t="inlineStr">
        <is>
          <t>ORD</t>
        </is>
      </c>
      <c r="D58" s="20" t="n">
        <v>1741</v>
      </c>
      <c r="E58" s="20" t="n">
        <v>325</v>
      </c>
      <c r="F58" s="20" t="n">
        <v>1</v>
      </c>
      <c r="G58" s="20" t="n">
        <v>39549</v>
      </c>
      <c r="H58" s="23" t="n">
        <v>14100783.07</v>
      </c>
      <c r="I58" s="22" t="n">
        <v>13.42</v>
      </c>
      <c r="J58" s="21" t="n">
        <v>0.7444</v>
      </c>
      <c r="K58" s="21" t="n">
        <v>0.0369</v>
      </c>
      <c r="L58" s="23" t="n">
        <v>26</v>
      </c>
      <c r="M58" s="24" t="n">
        <v>33</v>
      </c>
    </row>
    <row r="59">
      <c r="A59" s="5" t="inlineStr">
        <is>
          <t>PHX-BOS</t>
        </is>
      </c>
      <c r="B59" s="5" t="inlineStr">
        <is>
          <t>PHX</t>
        </is>
      </c>
      <c r="C59" s="5" t="inlineStr">
        <is>
          <t>BOS</t>
        </is>
      </c>
      <c r="D59" s="13" t="n">
        <v>2295</v>
      </c>
      <c r="E59" s="13" t="n">
        <v>335</v>
      </c>
      <c r="F59" s="13" t="n">
        <v>1</v>
      </c>
      <c r="G59" s="13" t="n">
        <v>39884</v>
      </c>
      <c r="H59" s="17" t="n">
        <v>14084612.17</v>
      </c>
      <c r="I59" s="16" t="n">
        <v>13.54</v>
      </c>
      <c r="J59" s="15" t="n">
        <v>0.7403999999999999</v>
      </c>
      <c r="K59" s="15" t="n">
        <v>0.0687</v>
      </c>
      <c r="L59" s="17" t="n">
        <v>27</v>
      </c>
      <c r="M59" s="18" t="n">
        <v>32</v>
      </c>
    </row>
    <row r="60">
      <c r="A60" s="19" t="inlineStr">
        <is>
          <t>JFK-PHX</t>
        </is>
      </c>
      <c r="B60" s="19" t="inlineStr">
        <is>
          <t>JFK</t>
        </is>
      </c>
      <c r="C60" s="19" t="inlineStr">
        <is>
          <t>PHX</t>
        </is>
      </c>
      <c r="D60" s="20" t="n">
        <v>2149</v>
      </c>
      <c r="E60" s="20" t="n">
        <v>312</v>
      </c>
      <c r="F60" s="20" t="n">
        <v>1</v>
      </c>
      <c r="G60" s="20" t="n">
        <v>41007</v>
      </c>
      <c r="H60" s="23" t="n">
        <v>13760992.58</v>
      </c>
      <c r="I60" s="22" t="n">
        <v>19.28</v>
      </c>
      <c r="J60" s="21" t="n">
        <v>0.6814</v>
      </c>
      <c r="K60" s="21" t="n">
        <v>0.0545</v>
      </c>
      <c r="L60" s="23" t="n">
        <v>28</v>
      </c>
      <c r="M60" s="24" t="n">
        <v>31</v>
      </c>
    </row>
    <row r="61">
      <c r="A61" s="5" t="inlineStr">
        <is>
          <t>MIA-DEN</t>
        </is>
      </c>
      <c r="B61" s="5" t="inlineStr">
        <is>
          <t>MIA</t>
        </is>
      </c>
      <c r="C61" s="5" t="inlineStr">
        <is>
          <t>DEN</t>
        </is>
      </c>
      <c r="D61" s="13" t="n">
        <v>1708</v>
      </c>
      <c r="E61" s="13" t="n">
        <v>322</v>
      </c>
      <c r="F61" s="13" t="n">
        <v>1</v>
      </c>
      <c r="G61" s="13" t="n">
        <v>38742</v>
      </c>
      <c r="H61" s="17" t="n">
        <v>13644943.24</v>
      </c>
      <c r="I61" s="16" t="n">
        <v>12.24</v>
      </c>
      <c r="J61" s="15" t="n">
        <v>0.7771</v>
      </c>
      <c r="K61" s="15" t="n">
        <v>0.0248</v>
      </c>
      <c r="L61" s="17" t="n">
        <v>29</v>
      </c>
      <c r="M61" s="18" t="n">
        <v>34</v>
      </c>
    </row>
    <row r="62">
      <c r="A62" s="19" t="inlineStr">
        <is>
          <t>ORD-LAX</t>
        </is>
      </c>
      <c r="B62" s="19" t="inlineStr">
        <is>
          <t>ORD</t>
        </is>
      </c>
      <c r="C62" s="19" t="inlineStr">
        <is>
          <t>LAX</t>
        </is>
      </c>
      <c r="D62" s="20" t="n">
        <v>1741</v>
      </c>
      <c r="E62" s="20" t="n">
        <v>326</v>
      </c>
      <c r="F62" s="20" t="n">
        <v>1</v>
      </c>
      <c r="G62" s="20" t="n">
        <v>37881</v>
      </c>
      <c r="H62" s="23" t="n">
        <v>13430792.73</v>
      </c>
      <c r="I62" s="22" t="n">
        <v>23.48</v>
      </c>
      <c r="J62" s="21" t="n">
        <v>0.6052999999999999</v>
      </c>
      <c r="K62" s="21" t="n">
        <v>0.0675</v>
      </c>
      <c r="L62" s="23" t="n">
        <v>30</v>
      </c>
      <c r="M62" s="24" t="n">
        <v>36</v>
      </c>
    </row>
    <row r="63">
      <c r="A63" s="5" t="inlineStr">
        <is>
          <t>DEN-MIA</t>
        </is>
      </c>
      <c r="B63" s="5" t="inlineStr">
        <is>
          <t>DEN</t>
        </is>
      </c>
      <c r="C63" s="5" t="inlineStr">
        <is>
          <t>MIA</t>
        </is>
      </c>
      <c r="D63" s="13" t="n">
        <v>1708</v>
      </c>
      <c r="E63" s="13" t="n">
        <v>318</v>
      </c>
      <c r="F63" s="13" t="n">
        <v>1</v>
      </c>
      <c r="G63" s="13" t="n">
        <v>38273</v>
      </c>
      <c r="H63" s="17" t="n">
        <v>13385686.39</v>
      </c>
      <c r="I63" s="16" t="n">
        <v>9.550000000000001</v>
      </c>
      <c r="J63" s="15" t="n">
        <v>0.7702</v>
      </c>
      <c r="K63" s="15" t="n">
        <v>0.0283</v>
      </c>
      <c r="L63" s="17" t="n">
        <v>31</v>
      </c>
      <c r="M63" s="18" t="n">
        <v>35</v>
      </c>
    </row>
    <row r="64">
      <c r="A64" s="19" t="inlineStr">
        <is>
          <t>BOS-PHX</t>
        </is>
      </c>
      <c r="B64" s="19" t="inlineStr">
        <is>
          <t>BOS</t>
        </is>
      </c>
      <c r="C64" s="19" t="inlineStr">
        <is>
          <t>PHX</t>
        </is>
      </c>
      <c r="D64" s="20" t="n">
        <v>2295</v>
      </c>
      <c r="E64" s="20" t="n">
        <v>315</v>
      </c>
      <c r="F64" s="20" t="n">
        <v>1</v>
      </c>
      <c r="G64" s="20" t="n">
        <v>37772</v>
      </c>
      <c r="H64" s="23" t="n">
        <v>13301721.32</v>
      </c>
      <c r="I64" s="22" t="n">
        <v>23.49</v>
      </c>
      <c r="J64" s="21" t="n">
        <v>0.6162</v>
      </c>
      <c r="K64" s="21" t="n">
        <v>0.0571</v>
      </c>
      <c r="L64" s="23" t="n">
        <v>32</v>
      </c>
      <c r="M64" s="24" t="n">
        <v>37</v>
      </c>
    </row>
    <row r="65">
      <c r="A65" s="5" t="inlineStr">
        <is>
          <t>MIA-MSP</t>
        </is>
      </c>
      <c r="B65" s="5" t="inlineStr">
        <is>
          <t>MIA</t>
        </is>
      </c>
      <c r="C65" s="5" t="inlineStr">
        <is>
          <t>MSP</t>
        </is>
      </c>
      <c r="D65" s="13" t="n">
        <v>1503</v>
      </c>
      <c r="E65" s="13" t="n">
        <v>322</v>
      </c>
      <c r="F65" s="13" t="n">
        <v>1</v>
      </c>
      <c r="G65" s="13" t="n">
        <v>44589</v>
      </c>
      <c r="H65" s="17" t="n">
        <v>12230238.79</v>
      </c>
      <c r="I65" s="16" t="n">
        <v>14.51</v>
      </c>
      <c r="J65" s="15" t="n">
        <v>0.7</v>
      </c>
      <c r="K65" s="15" t="n">
        <v>0.0373</v>
      </c>
      <c r="L65" s="17" t="n">
        <v>33</v>
      </c>
      <c r="M65" s="18" t="n">
        <v>23</v>
      </c>
    </row>
    <row r="66">
      <c r="A66" s="19" t="inlineStr">
        <is>
          <t>MSP-MIA</t>
        </is>
      </c>
      <c r="B66" s="19" t="inlineStr">
        <is>
          <t>MSP</t>
        </is>
      </c>
      <c r="C66" s="19" t="inlineStr">
        <is>
          <t>MIA</t>
        </is>
      </c>
      <c r="D66" s="20" t="n">
        <v>1503</v>
      </c>
      <c r="E66" s="20" t="n">
        <v>310</v>
      </c>
      <c r="F66" s="20" t="n">
        <v>1</v>
      </c>
      <c r="G66" s="20" t="n">
        <v>43442</v>
      </c>
      <c r="H66" s="23" t="n">
        <v>11880498.71</v>
      </c>
      <c r="I66" s="22" t="n">
        <v>15.37</v>
      </c>
      <c r="J66" s="21" t="n">
        <v>0.7119</v>
      </c>
      <c r="K66" s="21" t="n">
        <v>0.0258</v>
      </c>
      <c r="L66" s="23" t="n">
        <v>34</v>
      </c>
      <c r="M66" s="24" t="n">
        <v>26</v>
      </c>
    </row>
    <row r="67">
      <c r="A67" s="5" t="inlineStr">
        <is>
          <t>DFW-CLT</t>
        </is>
      </c>
      <c r="B67" s="5" t="inlineStr">
        <is>
          <t>DFW</t>
        </is>
      </c>
      <c r="C67" s="5" t="inlineStr">
        <is>
          <t>CLT</t>
        </is>
      </c>
      <c r="D67" s="13" t="n">
        <v>934</v>
      </c>
      <c r="E67" s="13" t="n">
        <v>334</v>
      </c>
      <c r="F67" s="13" t="n">
        <v>1</v>
      </c>
      <c r="G67" s="13" t="n">
        <v>43706</v>
      </c>
      <c r="H67" s="17" t="n">
        <v>11211858.69</v>
      </c>
      <c r="I67" s="16" t="n">
        <v>7.91</v>
      </c>
      <c r="J67" s="15" t="n">
        <v>0.797</v>
      </c>
      <c r="K67" s="15" t="n">
        <v>0.012</v>
      </c>
      <c r="L67" s="17" t="n">
        <v>35</v>
      </c>
      <c r="M67" s="18" t="n">
        <v>25</v>
      </c>
    </row>
    <row r="68">
      <c r="A68" s="19" t="inlineStr">
        <is>
          <t>CLT-DFW</t>
        </is>
      </c>
      <c r="B68" s="19" t="inlineStr">
        <is>
          <t>CLT</t>
        </is>
      </c>
      <c r="C68" s="19" t="inlineStr">
        <is>
          <t>DFW</t>
        </is>
      </c>
      <c r="D68" s="20" t="n">
        <v>934</v>
      </c>
      <c r="E68" s="20" t="n">
        <v>328</v>
      </c>
      <c r="F68" s="20" t="n">
        <v>1</v>
      </c>
      <c r="G68" s="20" t="n">
        <v>42630</v>
      </c>
      <c r="H68" s="23" t="n">
        <v>10777282.22</v>
      </c>
      <c r="I68" s="22" t="n">
        <v>7.53</v>
      </c>
      <c r="J68" s="21" t="n">
        <v>0.8545</v>
      </c>
      <c r="K68" s="21" t="n">
        <v>0.0152</v>
      </c>
      <c r="L68" s="23" t="n">
        <v>36</v>
      </c>
      <c r="M68" s="24" t="n">
        <v>28</v>
      </c>
    </row>
    <row r="69">
      <c r="A69" s="5" t="inlineStr">
        <is>
          <t>LAS-ORD</t>
        </is>
      </c>
      <c r="B69" s="5" t="inlineStr">
        <is>
          <t>LAS</t>
        </is>
      </c>
      <c r="C69" s="5" t="inlineStr">
        <is>
          <t>ORD</t>
        </is>
      </c>
      <c r="D69" s="13" t="n">
        <v>1511</v>
      </c>
      <c r="E69" s="13" t="n">
        <v>327</v>
      </c>
      <c r="F69" s="13" t="n">
        <v>1</v>
      </c>
      <c r="G69" s="13" t="n">
        <v>41538</v>
      </c>
      <c r="H69" s="17" t="n">
        <v>10176461.35</v>
      </c>
      <c r="I69" s="16" t="n">
        <v>18.66</v>
      </c>
      <c r="J69" s="15" t="n">
        <v>0.6677</v>
      </c>
      <c r="K69" s="15" t="n">
        <v>0.0428</v>
      </c>
      <c r="L69" s="17" t="n">
        <v>37</v>
      </c>
      <c r="M69" s="18" t="n">
        <v>30</v>
      </c>
    </row>
    <row r="70">
      <c r="A70" s="19" t="inlineStr">
        <is>
          <t>ORD-LAS</t>
        </is>
      </c>
      <c r="B70" s="19" t="inlineStr">
        <is>
          <t>ORD</t>
        </is>
      </c>
      <c r="C70" s="19" t="inlineStr">
        <is>
          <t>LAS</t>
        </is>
      </c>
      <c r="D70" s="20" t="n">
        <v>1511</v>
      </c>
      <c r="E70" s="20" t="n">
        <v>318</v>
      </c>
      <c r="F70" s="20" t="n">
        <v>1</v>
      </c>
      <c r="G70" s="20" t="n">
        <v>37378</v>
      </c>
      <c r="H70" s="23" t="n">
        <v>9188881.49</v>
      </c>
      <c r="I70" s="22" t="n">
        <v>29.63</v>
      </c>
      <c r="J70" s="21" t="n">
        <v>0.4912</v>
      </c>
      <c r="K70" s="21" t="n">
        <v>0.1101</v>
      </c>
      <c r="L70" s="23" t="n">
        <v>38</v>
      </c>
      <c r="M70" s="24" t="n">
        <v>39</v>
      </c>
    </row>
    <row r="71">
      <c r="A71" s="5" t="inlineStr">
        <is>
          <t>MSP-BOS</t>
        </is>
      </c>
      <c r="B71" s="5" t="inlineStr">
        <is>
          <t>MSP</t>
        </is>
      </c>
      <c r="C71" s="5" t="inlineStr">
        <is>
          <t>BOS</t>
        </is>
      </c>
      <c r="D71" s="13" t="n">
        <v>1121</v>
      </c>
      <c r="E71" s="13" t="n">
        <v>326</v>
      </c>
      <c r="F71" s="13" t="n">
        <v>1</v>
      </c>
      <c r="G71" s="13" t="n">
        <v>32071</v>
      </c>
      <c r="H71" s="17" t="n">
        <v>8285309.18</v>
      </c>
      <c r="I71" s="16" t="n">
        <v>13.39</v>
      </c>
      <c r="J71" s="15" t="n">
        <v>0.7764</v>
      </c>
      <c r="K71" s="15" t="n">
        <v>0.0123</v>
      </c>
      <c r="L71" s="17" t="n">
        <v>39</v>
      </c>
      <c r="M71" s="18" t="n">
        <v>49</v>
      </c>
    </row>
    <row r="72">
      <c r="A72" s="19" t="inlineStr">
        <is>
          <t>BOS-MSP</t>
        </is>
      </c>
      <c r="B72" s="19" t="inlineStr">
        <is>
          <t>BOS</t>
        </is>
      </c>
      <c r="C72" s="19" t="inlineStr">
        <is>
          <t>MSP</t>
        </is>
      </c>
      <c r="D72" s="20" t="n">
        <v>1121</v>
      </c>
      <c r="E72" s="20" t="n">
        <v>318</v>
      </c>
      <c r="F72" s="20" t="n">
        <v>1</v>
      </c>
      <c r="G72" s="20" t="n">
        <v>31007</v>
      </c>
      <c r="H72" s="23" t="n">
        <v>7950994.72</v>
      </c>
      <c r="I72" s="22" t="n">
        <v>13.05</v>
      </c>
      <c r="J72" s="21" t="n">
        <v>0.7557</v>
      </c>
      <c r="K72" s="21" t="n">
        <v>0.0346</v>
      </c>
      <c r="L72" s="23" t="n">
        <v>40</v>
      </c>
      <c r="M72" s="24" t="n">
        <v>52</v>
      </c>
    </row>
    <row r="73">
      <c r="A73" s="5" t="inlineStr">
        <is>
          <t>JFK-ATL</t>
        </is>
      </c>
      <c r="B73" s="5" t="inlineStr">
        <is>
          <t>JFK</t>
        </is>
      </c>
      <c r="C73" s="5" t="inlineStr">
        <is>
          <t>ATL</t>
        </is>
      </c>
      <c r="D73" s="13" t="n">
        <v>759</v>
      </c>
      <c r="E73" s="13" t="n">
        <v>327</v>
      </c>
      <c r="F73" s="13" t="n">
        <v>1</v>
      </c>
      <c r="G73" s="13" t="n">
        <v>36999</v>
      </c>
      <c r="H73" s="17" t="n">
        <v>7253893.7</v>
      </c>
      <c r="I73" s="16" t="n">
        <v>12.27</v>
      </c>
      <c r="J73" s="15" t="n">
        <v>0.7547</v>
      </c>
      <c r="K73" s="15" t="n">
        <v>0.0275</v>
      </c>
      <c r="L73" s="17" t="n">
        <v>41</v>
      </c>
      <c r="M73" s="18" t="n">
        <v>42</v>
      </c>
    </row>
    <row r="74">
      <c r="A74" s="19" t="inlineStr">
        <is>
          <t>ATL-JFK</t>
        </is>
      </c>
      <c r="B74" s="19" t="inlineStr">
        <is>
          <t>ATL</t>
        </is>
      </c>
      <c r="C74" s="19" t="inlineStr">
        <is>
          <t>JFK</t>
        </is>
      </c>
      <c r="D74" s="20" t="n">
        <v>759</v>
      </c>
      <c r="E74" s="20" t="n">
        <v>328</v>
      </c>
      <c r="F74" s="20" t="n">
        <v>1</v>
      </c>
      <c r="G74" s="20" t="n">
        <v>36830</v>
      </c>
      <c r="H74" s="23" t="n">
        <v>7133515.19</v>
      </c>
      <c r="I74" s="22" t="n">
        <v>16.76</v>
      </c>
      <c r="J74" s="21" t="n">
        <v>0.7138</v>
      </c>
      <c r="K74" s="21" t="n">
        <v>0.0305</v>
      </c>
      <c r="L74" s="23" t="n">
        <v>42</v>
      </c>
      <c r="M74" s="24" t="n">
        <v>43</v>
      </c>
    </row>
    <row r="75">
      <c r="A75" s="5" t="inlineStr">
        <is>
          <t>BOS-ORD</t>
        </is>
      </c>
      <c r="B75" s="5" t="inlineStr">
        <is>
          <t>BOS</t>
        </is>
      </c>
      <c r="C75" s="5" t="inlineStr">
        <is>
          <t>ORD</t>
        </is>
      </c>
      <c r="D75" s="13" t="n">
        <v>865</v>
      </c>
      <c r="E75" s="13" t="n">
        <v>320</v>
      </c>
      <c r="F75" s="13" t="n">
        <v>1</v>
      </c>
      <c r="G75" s="13" t="n">
        <v>37726</v>
      </c>
      <c r="H75" s="17" t="n">
        <v>7110491.08</v>
      </c>
      <c r="I75" s="16" t="n">
        <v>17.87</v>
      </c>
      <c r="J75" s="15" t="n">
        <v>0.6613</v>
      </c>
      <c r="K75" s="15" t="n">
        <v>0.0219</v>
      </c>
      <c r="L75" s="17" t="n">
        <v>43</v>
      </c>
      <c r="M75" s="18" t="n">
        <v>38</v>
      </c>
    </row>
    <row r="76">
      <c r="A76" s="19" t="inlineStr">
        <is>
          <t>ORD-DFW</t>
        </is>
      </c>
      <c r="B76" s="19" t="inlineStr">
        <is>
          <t>ORD</t>
        </is>
      </c>
      <c r="C76" s="19" t="inlineStr">
        <is>
          <t>DFW</t>
        </is>
      </c>
      <c r="D76" s="20" t="n">
        <v>801</v>
      </c>
      <c r="E76" s="20" t="n">
        <v>322</v>
      </c>
      <c r="F76" s="20" t="n">
        <v>1</v>
      </c>
      <c r="G76" s="20" t="n">
        <v>34823</v>
      </c>
      <c r="H76" s="23" t="n">
        <v>7099835.74</v>
      </c>
      <c r="I76" s="22" t="n">
        <v>14.42</v>
      </c>
      <c r="J76" s="21" t="n">
        <v>0.7305</v>
      </c>
      <c r="K76" s="21" t="n">
        <v>0.0435</v>
      </c>
      <c r="L76" s="23" t="n">
        <v>44</v>
      </c>
      <c r="M76" s="24" t="n">
        <v>45</v>
      </c>
    </row>
    <row r="77">
      <c r="A77" s="5" t="inlineStr">
        <is>
          <t>DFW-ORD</t>
        </is>
      </c>
      <c r="B77" s="5" t="inlineStr">
        <is>
          <t>DFW</t>
        </is>
      </c>
      <c r="C77" s="5" t="inlineStr">
        <is>
          <t>ORD</t>
        </is>
      </c>
      <c r="D77" s="13" t="n">
        <v>801</v>
      </c>
      <c r="E77" s="13" t="n">
        <v>320</v>
      </c>
      <c r="F77" s="13" t="n">
        <v>1</v>
      </c>
      <c r="G77" s="13" t="n">
        <v>34394</v>
      </c>
      <c r="H77" s="17" t="n">
        <v>7055660.15</v>
      </c>
      <c r="I77" s="16" t="n">
        <v>16.13</v>
      </c>
      <c r="J77" s="15" t="n">
        <v>0.741</v>
      </c>
      <c r="K77" s="15" t="n">
        <v>0.0469</v>
      </c>
      <c r="L77" s="17" t="n">
        <v>45</v>
      </c>
      <c r="M77" s="18" t="n">
        <v>46</v>
      </c>
    </row>
    <row r="78">
      <c r="A78" s="19" t="inlineStr">
        <is>
          <t>ORD-BOS</t>
        </is>
      </c>
      <c r="B78" s="19" t="inlineStr">
        <is>
          <t>ORD</t>
        </is>
      </c>
      <c r="C78" s="19" t="inlineStr">
        <is>
          <t>BOS</t>
        </is>
      </c>
      <c r="D78" s="20" t="n">
        <v>865</v>
      </c>
      <c r="E78" s="20" t="n">
        <v>330</v>
      </c>
      <c r="F78" s="20" t="n">
        <v>1</v>
      </c>
      <c r="G78" s="20" t="n">
        <v>36315</v>
      </c>
      <c r="H78" s="23" t="n">
        <v>6841861.35</v>
      </c>
      <c r="I78" s="22" t="n">
        <v>18.62</v>
      </c>
      <c r="J78" s="21" t="n">
        <v>0.6656</v>
      </c>
      <c r="K78" s="21" t="n">
        <v>0.07580000000000001</v>
      </c>
      <c r="L78" s="23" t="n">
        <v>46</v>
      </c>
      <c r="M78" s="24" t="n">
        <v>44</v>
      </c>
    </row>
    <row r="79">
      <c r="A79" s="5" t="inlineStr">
        <is>
          <t>JFK-MSP</t>
        </is>
      </c>
      <c r="B79" s="5" t="inlineStr">
        <is>
          <t>JFK</t>
        </is>
      </c>
      <c r="C79" s="5" t="inlineStr">
        <is>
          <t>MSP</t>
        </is>
      </c>
      <c r="D79" s="13" t="n">
        <v>1026</v>
      </c>
      <c r="E79" s="13" t="n">
        <v>319</v>
      </c>
      <c r="F79" s="13" t="n">
        <v>1</v>
      </c>
      <c r="G79" s="13" t="n">
        <v>31621</v>
      </c>
      <c r="H79" s="17" t="n">
        <v>6570776.26</v>
      </c>
      <c r="I79" s="16" t="n">
        <v>17.45</v>
      </c>
      <c r="J79" s="15" t="n">
        <v>0.7087</v>
      </c>
      <c r="K79" s="15" t="n">
        <v>0.0313</v>
      </c>
      <c r="L79" s="17" t="n">
        <v>47</v>
      </c>
      <c r="M79" s="18" t="n">
        <v>50</v>
      </c>
    </row>
    <row r="80">
      <c r="A80" s="19" t="inlineStr">
        <is>
          <t>MSP-JFK</t>
        </is>
      </c>
      <c r="B80" s="19" t="inlineStr">
        <is>
          <t>MSP</t>
        </is>
      </c>
      <c r="C80" s="19" t="inlineStr">
        <is>
          <t>JFK</t>
        </is>
      </c>
      <c r="D80" s="20" t="n">
        <v>1026</v>
      </c>
      <c r="E80" s="20" t="n">
        <v>315</v>
      </c>
      <c r="F80" s="20" t="n">
        <v>1</v>
      </c>
      <c r="G80" s="20" t="n">
        <v>31030</v>
      </c>
      <c r="H80" s="23" t="n">
        <v>6499612.4</v>
      </c>
      <c r="I80" s="22" t="n">
        <v>14.84</v>
      </c>
      <c r="J80" s="21" t="n">
        <v>0.7467</v>
      </c>
      <c r="K80" s="21" t="n">
        <v>0.0349</v>
      </c>
      <c r="L80" s="23" t="n">
        <v>48</v>
      </c>
      <c r="M80" s="24" t="n">
        <v>51</v>
      </c>
    </row>
    <row r="81">
      <c r="A81" s="5" t="inlineStr">
        <is>
          <t>DFW-DEN</t>
        </is>
      </c>
      <c r="B81" s="5" t="inlineStr">
        <is>
          <t>DFW</t>
        </is>
      </c>
      <c r="C81" s="5" t="inlineStr">
        <is>
          <t>DEN</t>
        </is>
      </c>
      <c r="D81" s="13" t="n">
        <v>641</v>
      </c>
      <c r="E81" s="13" t="n">
        <v>646</v>
      </c>
      <c r="F81" s="13" t="n">
        <v>2</v>
      </c>
      <c r="G81" s="13" t="n">
        <v>37110</v>
      </c>
      <c r="H81" s="17" t="n">
        <v>6421017.28</v>
      </c>
      <c r="I81" s="16" t="n">
        <v>10.52</v>
      </c>
      <c r="J81" s="15" t="n">
        <v>0.7956</v>
      </c>
      <c r="K81" s="15" t="n">
        <v>0.0232</v>
      </c>
      <c r="L81" s="17" t="n">
        <v>49</v>
      </c>
      <c r="M81" s="18" t="n">
        <v>41</v>
      </c>
    </row>
    <row r="82">
      <c r="A82" s="19" t="inlineStr">
        <is>
          <t>DEN-DFW</t>
        </is>
      </c>
      <c r="B82" s="19" t="inlineStr">
        <is>
          <t>DEN</t>
        </is>
      </c>
      <c r="C82" s="19" t="inlineStr">
        <is>
          <t>DFW</t>
        </is>
      </c>
      <c r="D82" s="20" t="n">
        <v>641</v>
      </c>
      <c r="E82" s="20" t="n">
        <v>652</v>
      </c>
      <c r="F82" s="20" t="n">
        <v>2</v>
      </c>
      <c r="G82" s="20" t="n">
        <v>37231</v>
      </c>
      <c r="H82" s="23" t="n">
        <v>6398606.89</v>
      </c>
      <c r="I82" s="22" t="n">
        <v>11.37</v>
      </c>
      <c r="J82" s="21" t="n">
        <v>0.769</v>
      </c>
      <c r="K82" s="21" t="n">
        <v>0.0307</v>
      </c>
      <c r="L82" s="23" t="n">
        <v>50</v>
      </c>
      <c r="M82" s="24" t="n">
        <v>40</v>
      </c>
    </row>
    <row r="83">
      <c r="A83" s="5" t="inlineStr">
        <is>
          <t>PHX-DEN</t>
        </is>
      </c>
      <c r="B83" s="5" t="inlineStr">
        <is>
          <t>PHX</t>
        </is>
      </c>
      <c r="C83" s="5" t="inlineStr">
        <is>
          <t>DEN</t>
        </is>
      </c>
      <c r="D83" s="13" t="n">
        <v>602</v>
      </c>
      <c r="E83" s="13" t="n">
        <v>650</v>
      </c>
      <c r="F83" s="13" t="n">
        <v>1</v>
      </c>
      <c r="G83" s="13" t="n">
        <v>33077</v>
      </c>
      <c r="H83" s="17" t="n">
        <v>6291265.91</v>
      </c>
      <c r="I83" s="16" t="n">
        <v>7.26</v>
      </c>
      <c r="J83" s="15" t="n">
        <v>0.8393</v>
      </c>
      <c r="K83" s="15" t="n">
        <v>0.0046</v>
      </c>
      <c r="L83" s="17" t="n">
        <v>51</v>
      </c>
      <c r="M83" s="18" t="n">
        <v>47</v>
      </c>
    </row>
    <row r="84">
      <c r="A84" s="19" t="inlineStr">
        <is>
          <t>DEN-PHX</t>
        </is>
      </c>
      <c r="B84" s="19" t="inlineStr">
        <is>
          <t>DEN</t>
        </is>
      </c>
      <c r="C84" s="19" t="inlineStr">
        <is>
          <t>PHX</t>
        </is>
      </c>
      <c r="D84" s="20" t="n">
        <v>602</v>
      </c>
      <c r="E84" s="20" t="n">
        <v>662</v>
      </c>
      <c r="F84" s="20" t="n">
        <v>1</v>
      </c>
      <c r="G84" s="20" t="n">
        <v>32761</v>
      </c>
      <c r="H84" s="23" t="n">
        <v>6185912.79</v>
      </c>
      <c r="I84" s="22" t="n">
        <v>12.49</v>
      </c>
      <c r="J84" s="21" t="n">
        <v>0.7477</v>
      </c>
      <c r="K84" s="21" t="n">
        <v>0.0242</v>
      </c>
      <c r="L84" s="23" t="n">
        <v>52</v>
      </c>
      <c r="M84" s="24" t="n">
        <v>48</v>
      </c>
    </row>
    <row r="85">
      <c r="A85" s="5" t="inlineStr">
        <is>
          <t>CLT-EWR</t>
        </is>
      </c>
      <c r="B85" s="5" t="inlineStr">
        <is>
          <t>CLT</t>
        </is>
      </c>
      <c r="C85" s="5" t="inlineStr">
        <is>
          <t>EWR</t>
        </is>
      </c>
      <c r="D85" s="13" t="n">
        <v>528</v>
      </c>
      <c r="E85" s="13" t="n">
        <v>321</v>
      </c>
      <c r="F85" s="13" t="n">
        <v>1</v>
      </c>
      <c r="G85" s="13" t="n">
        <v>18427</v>
      </c>
      <c r="H85" s="17" t="n">
        <v>3087465.16</v>
      </c>
      <c r="I85" s="16" t="n">
        <v>10.49</v>
      </c>
      <c r="J85" s="15" t="n">
        <v>0.7987</v>
      </c>
      <c r="K85" s="15" t="n">
        <v>0.0249</v>
      </c>
      <c r="L85" s="17" t="n">
        <v>53</v>
      </c>
      <c r="M85" s="18" t="n">
        <v>55</v>
      </c>
    </row>
    <row r="86">
      <c r="A86" s="19" t="inlineStr">
        <is>
          <t>LAX-SFO</t>
        </is>
      </c>
      <c r="B86" s="19" t="inlineStr">
        <is>
          <t>LAX</t>
        </is>
      </c>
      <c r="C86" s="19" t="inlineStr">
        <is>
          <t>SFO</t>
        </is>
      </c>
      <c r="D86" s="20" t="n">
        <v>338</v>
      </c>
      <c r="E86" s="20" t="n">
        <v>333</v>
      </c>
      <c r="F86" s="20" t="n">
        <v>1</v>
      </c>
      <c r="G86" s="20" t="n">
        <v>18802</v>
      </c>
      <c r="H86" s="23" t="n">
        <v>2930370.58</v>
      </c>
      <c r="I86" s="22" t="n">
        <v>12.11</v>
      </c>
      <c r="J86" s="21" t="n">
        <v>0.7654</v>
      </c>
      <c r="K86" s="21" t="n">
        <v>0.027</v>
      </c>
      <c r="L86" s="23" t="n">
        <v>54</v>
      </c>
      <c r="M86" s="24" t="n">
        <v>53</v>
      </c>
    </row>
    <row r="87">
      <c r="A87" s="5" t="inlineStr">
        <is>
          <t>SFO-LAX</t>
        </is>
      </c>
      <c r="B87" s="5" t="inlineStr">
        <is>
          <t>SFO</t>
        </is>
      </c>
      <c r="C87" s="5" t="inlineStr">
        <is>
          <t>LAX</t>
        </is>
      </c>
      <c r="D87" s="13" t="n">
        <v>338</v>
      </c>
      <c r="E87" s="13" t="n">
        <v>323</v>
      </c>
      <c r="F87" s="13" t="n">
        <v>1</v>
      </c>
      <c r="G87" s="13" t="n">
        <v>18492</v>
      </c>
      <c r="H87" s="17" t="n">
        <v>2890205.58</v>
      </c>
      <c r="I87" s="16" t="n">
        <v>12.3</v>
      </c>
      <c r="J87" s="15" t="n">
        <v>0.7627</v>
      </c>
      <c r="K87" s="15" t="n">
        <v>0.0217</v>
      </c>
      <c r="L87" s="17" t="n">
        <v>55</v>
      </c>
      <c r="M87" s="18" t="n">
        <v>54</v>
      </c>
    </row>
    <row r="88">
      <c r="A88" s="19" t="inlineStr">
        <is>
          <t>EWR-CLT</t>
        </is>
      </c>
      <c r="B88" s="19" t="inlineStr">
        <is>
          <t>EWR</t>
        </is>
      </c>
      <c r="C88" s="19" t="inlineStr">
        <is>
          <t>CLT</t>
        </is>
      </c>
      <c r="D88" s="20" t="n">
        <v>528</v>
      </c>
      <c r="E88" s="20" t="n">
        <v>311</v>
      </c>
      <c r="F88" s="20" t="n">
        <v>1</v>
      </c>
      <c r="G88" s="20" t="n">
        <v>16837</v>
      </c>
      <c r="H88" s="23" t="n">
        <v>2799735.88</v>
      </c>
      <c r="I88" s="22" t="n">
        <v>24.08</v>
      </c>
      <c r="J88" s="21" t="n">
        <v>0.6049</v>
      </c>
      <c r="K88" s="21" t="n">
        <v>0.0804</v>
      </c>
      <c r="L88" s="23" t="n">
        <v>56</v>
      </c>
      <c r="M88" s="24" t="n">
        <v>58</v>
      </c>
    </row>
    <row r="89">
      <c r="A89" s="5" t="inlineStr">
        <is>
          <t>CLT-JFK</t>
        </is>
      </c>
      <c r="B89" s="5" t="inlineStr">
        <is>
          <t>CLT</t>
        </is>
      </c>
      <c r="C89" s="5" t="inlineStr">
        <is>
          <t>JFK</t>
        </is>
      </c>
      <c r="D89" s="13" t="n">
        <v>541</v>
      </c>
      <c r="E89" s="13" t="n">
        <v>326</v>
      </c>
      <c r="F89" s="13" t="n">
        <v>1</v>
      </c>
      <c r="G89" s="13" t="n">
        <v>16133</v>
      </c>
      <c r="H89" s="17" t="n">
        <v>2735290.79</v>
      </c>
      <c r="I89" s="16" t="n">
        <v>8.109999999999999</v>
      </c>
      <c r="J89" s="15" t="n">
        <v>0.8313</v>
      </c>
      <c r="K89" s="15" t="n">
        <v>0.0184</v>
      </c>
      <c r="L89" s="17" t="n">
        <v>57</v>
      </c>
      <c r="M89" s="18" t="n">
        <v>60</v>
      </c>
    </row>
    <row r="90">
      <c r="A90" s="19" t="inlineStr">
        <is>
          <t>JFK-CLT</t>
        </is>
      </c>
      <c r="B90" s="19" t="inlineStr">
        <is>
          <t>JFK</t>
        </is>
      </c>
      <c r="C90" s="19" t="inlineStr">
        <is>
          <t>CLT</t>
        </is>
      </c>
      <c r="D90" s="20" t="n">
        <v>541</v>
      </c>
      <c r="E90" s="20" t="n">
        <v>323</v>
      </c>
      <c r="F90" s="20" t="n">
        <v>1</v>
      </c>
      <c r="G90" s="20" t="n">
        <v>15186</v>
      </c>
      <c r="H90" s="23" t="n">
        <v>2557873.76</v>
      </c>
      <c r="I90" s="22" t="n">
        <v>17.94</v>
      </c>
      <c r="J90" s="21" t="n">
        <v>0.7161999999999999</v>
      </c>
      <c r="K90" s="21" t="n">
        <v>0.0619</v>
      </c>
      <c r="L90" s="23" t="n">
        <v>58</v>
      </c>
      <c r="M90" s="24" t="n">
        <v>63</v>
      </c>
    </row>
    <row r="91">
      <c r="A91" s="5" t="inlineStr">
        <is>
          <t>PHX-LAX</t>
        </is>
      </c>
      <c r="B91" s="5" t="inlineStr">
        <is>
          <t>PHX</t>
        </is>
      </c>
      <c r="C91" s="5" t="inlineStr">
        <is>
          <t>LAX</t>
        </is>
      </c>
      <c r="D91" s="13" t="n">
        <v>370</v>
      </c>
      <c r="E91" s="13" t="n">
        <v>320</v>
      </c>
      <c r="F91" s="13" t="n">
        <v>1</v>
      </c>
      <c r="G91" s="13" t="n">
        <v>17701</v>
      </c>
      <c r="H91" s="17" t="n">
        <v>2502406.7</v>
      </c>
      <c r="I91" s="16" t="n">
        <v>8.779999999999999</v>
      </c>
      <c r="J91" s="15" t="n">
        <v>0.8153</v>
      </c>
      <c r="K91" s="15" t="n">
        <v>0.0187</v>
      </c>
      <c r="L91" s="17" t="n">
        <v>59</v>
      </c>
      <c r="M91" s="18" t="n">
        <v>56</v>
      </c>
    </row>
    <row r="92">
      <c r="A92" s="19" t="inlineStr">
        <is>
          <t>LAX-PHX</t>
        </is>
      </c>
      <c r="B92" s="19" t="inlineStr">
        <is>
          <t>LAX</t>
        </is>
      </c>
      <c r="C92" s="19" t="inlineStr">
        <is>
          <t>PHX</t>
        </is>
      </c>
      <c r="D92" s="20" t="n">
        <v>370</v>
      </c>
      <c r="E92" s="20" t="n">
        <v>318</v>
      </c>
      <c r="F92" s="20" t="n">
        <v>1</v>
      </c>
      <c r="G92" s="20" t="n">
        <v>17348</v>
      </c>
      <c r="H92" s="23" t="n">
        <v>2464130.64</v>
      </c>
      <c r="I92" s="22" t="n">
        <v>17.71</v>
      </c>
      <c r="J92" s="21" t="n">
        <v>0.6938</v>
      </c>
      <c r="K92" s="21" t="n">
        <v>0.0346</v>
      </c>
      <c r="L92" s="23" t="n">
        <v>60</v>
      </c>
      <c r="M92" s="24" t="n">
        <v>57</v>
      </c>
    </row>
    <row r="93">
      <c r="A93" s="5" t="inlineStr">
        <is>
          <t>EWR-BOS</t>
        </is>
      </c>
      <c r="B93" s="5" t="inlineStr">
        <is>
          <t>EWR</t>
        </is>
      </c>
      <c r="C93" s="5" t="inlineStr">
        <is>
          <t>BOS</t>
        </is>
      </c>
      <c r="D93" s="13" t="n">
        <v>200</v>
      </c>
      <c r="E93" s="13" t="n">
        <v>325</v>
      </c>
      <c r="F93" s="13" t="n">
        <v>1</v>
      </c>
      <c r="G93" s="13" t="n">
        <v>15729</v>
      </c>
      <c r="H93" s="17" t="n">
        <v>1624489.41</v>
      </c>
      <c r="I93" s="16" t="n">
        <v>23.14</v>
      </c>
      <c r="J93" s="15" t="n">
        <v>0.6019</v>
      </c>
      <c r="K93" s="15" t="n">
        <v>0.0492</v>
      </c>
      <c r="L93" s="17" t="n">
        <v>61</v>
      </c>
      <c r="M93" s="18" t="n">
        <v>61</v>
      </c>
    </row>
    <row r="94">
      <c r="A94" s="19" t="inlineStr">
        <is>
          <t>LAS-LAX</t>
        </is>
      </c>
      <c r="B94" s="19" t="inlineStr">
        <is>
          <t>LAS</t>
        </is>
      </c>
      <c r="C94" s="19" t="inlineStr">
        <is>
          <t>LAX</t>
        </is>
      </c>
      <c r="D94" s="20" t="n">
        <v>236</v>
      </c>
      <c r="E94" s="20" t="n">
        <v>317</v>
      </c>
      <c r="F94" s="20" t="n">
        <v>1</v>
      </c>
      <c r="G94" s="20" t="n">
        <v>16317</v>
      </c>
      <c r="H94" s="23" t="n">
        <v>1568888.28</v>
      </c>
      <c r="I94" s="22" t="n">
        <v>7.6</v>
      </c>
      <c r="J94" s="21" t="n">
        <v>0.8414</v>
      </c>
      <c r="K94" s="21" t="n">
        <v>0.0252</v>
      </c>
      <c r="L94" s="23" t="n">
        <v>62</v>
      </c>
      <c r="M94" s="24" t="n">
        <v>59</v>
      </c>
    </row>
    <row r="95">
      <c r="A95" s="5" t="inlineStr">
        <is>
          <t>LAX-LAS</t>
        </is>
      </c>
      <c r="B95" s="5" t="inlineStr">
        <is>
          <t>LAX</t>
        </is>
      </c>
      <c r="C95" s="5" t="inlineStr">
        <is>
          <t>LAS</t>
        </is>
      </c>
      <c r="D95" s="13" t="n">
        <v>236</v>
      </c>
      <c r="E95" s="13" t="n">
        <v>312</v>
      </c>
      <c r="F95" s="13" t="n">
        <v>1</v>
      </c>
      <c r="G95" s="13" t="n">
        <v>15565</v>
      </c>
      <c r="H95" s="17" t="n">
        <v>1505127.81</v>
      </c>
      <c r="I95" s="16" t="n">
        <v>23.2</v>
      </c>
      <c r="J95" s="15" t="n">
        <v>0.633</v>
      </c>
      <c r="K95" s="15" t="n">
        <v>0.0481</v>
      </c>
      <c r="L95" s="17" t="n">
        <v>63</v>
      </c>
      <c r="M95" s="18" t="n">
        <v>62</v>
      </c>
    </row>
    <row r="96">
      <c r="A96" s="19" t="inlineStr">
        <is>
          <t>BOS-EWR</t>
        </is>
      </c>
      <c r="B96" s="19" t="inlineStr">
        <is>
          <t>BOS</t>
        </is>
      </c>
      <c r="C96" s="19" t="inlineStr">
        <is>
          <t>EWR</t>
        </is>
      </c>
      <c r="D96" s="20" t="n">
        <v>200</v>
      </c>
      <c r="E96" s="20" t="n">
        <v>312</v>
      </c>
      <c r="F96" s="20" t="n">
        <v>1</v>
      </c>
      <c r="G96" s="20" t="n">
        <v>14606</v>
      </c>
      <c r="H96" s="23" t="n">
        <v>1484018.17</v>
      </c>
      <c r="I96" s="22" t="n">
        <v>18.23</v>
      </c>
      <c r="J96" s="21" t="n">
        <v>0.6862</v>
      </c>
      <c r="K96" s="21" t="n">
        <v>0.07049999999999999</v>
      </c>
      <c r="L96" s="23" t="n">
        <v>64</v>
      </c>
      <c r="M96" s="24" t="n">
        <v>64</v>
      </c>
    </row>
    <row r="97"/>
    <row r="98"/>
    <row r="99">
      <c r="A99" s="3" t="inlineStr">
        <is>
          <t>Shared routes: carrier comparison</t>
        </is>
      </c>
    </row>
    <row r="100" ht="30" customHeight="1">
      <c r="A100" s="14" t="inlineStr">
        <is>
          <t>Route</t>
        </is>
      </c>
      <c r="B100" s="14" t="inlineStr">
        <is>
          <t>Airline</t>
        </is>
      </c>
      <c r="C100" s="14" t="inlineStr">
        <is>
          <t>Flights</t>
        </is>
      </c>
      <c r="D100" s="14" t="inlineStr">
        <is>
          <t>Passengers</t>
        </is>
      </c>
      <c r="E100" s="14" t="inlineStr">
        <is>
          <t>On-Time Rate</t>
        </is>
      </c>
      <c r="F100" s="14" t="inlineStr">
        <is>
          <t>Avg Delay (min)</t>
        </is>
      </c>
    </row>
    <row r="101">
      <c r="A101" s="5" t="inlineStr">
        <is>
          <t>DEN-DFW</t>
        </is>
      </c>
      <c r="B101" s="5" t="inlineStr">
        <is>
          <t>Northstar Airlines</t>
        </is>
      </c>
      <c r="C101" s="13" t="n">
        <v>326</v>
      </c>
      <c r="D101" s="13" t="n">
        <v>19390</v>
      </c>
      <c r="E101" s="15" t="n">
        <v>0.8245</v>
      </c>
      <c r="F101" s="16" t="n">
        <v>8.17</v>
      </c>
    </row>
    <row r="102">
      <c r="A102" s="19" t="inlineStr">
        <is>
          <t>DEN-DFW</t>
        </is>
      </c>
      <c r="B102" s="19" t="inlineStr">
        <is>
          <t>Summit Air</t>
        </is>
      </c>
      <c r="C102" s="20" t="n">
        <v>326</v>
      </c>
      <c r="D102" s="20" t="n">
        <v>17841</v>
      </c>
      <c r="E102" s="21" t="n">
        <v>0.7125</v>
      </c>
      <c r="F102" s="22" t="n">
        <v>14.63</v>
      </c>
    </row>
    <row r="103">
      <c r="A103" s="5" t="inlineStr">
        <is>
          <t>DFW-DEN</t>
        </is>
      </c>
      <c r="B103" s="5" t="inlineStr">
        <is>
          <t>Northstar Airlines</t>
        </is>
      </c>
      <c r="C103" s="13" t="n">
        <v>327</v>
      </c>
      <c r="D103" s="13" t="n">
        <v>19436</v>
      </c>
      <c r="E103" s="15" t="n">
        <v>0.8063</v>
      </c>
      <c r="F103" s="16" t="n">
        <v>9.24</v>
      </c>
    </row>
    <row r="104">
      <c r="A104" s="19" t="inlineStr">
        <is>
          <t>DFW-DEN</t>
        </is>
      </c>
      <c r="B104" s="19" t="inlineStr">
        <is>
          <t>Summit Air</t>
        </is>
      </c>
      <c r="C104" s="20" t="n">
        <v>319</v>
      </c>
      <c r="D104" s="20" t="n">
        <v>17674</v>
      </c>
      <c r="E104" s="21" t="n">
        <v>0.7846</v>
      </c>
      <c r="F104" s="22" t="n">
        <v>11.84</v>
      </c>
    </row>
    <row r="105">
      <c r="A105" s="5" t="inlineStr">
        <is>
          <t>JFK-SFO</t>
        </is>
      </c>
      <c r="B105" s="5" t="inlineStr">
        <is>
          <t>Coastal Jet</t>
        </is>
      </c>
      <c r="C105" s="13" t="n">
        <v>314</v>
      </c>
      <c r="D105" s="13" t="n">
        <v>42565</v>
      </c>
      <c r="E105" s="15" t="n">
        <v>0.7233000000000001</v>
      </c>
      <c r="F105" s="16" t="n">
        <v>17.5</v>
      </c>
    </row>
    <row r="106">
      <c r="A106" s="19" t="inlineStr">
        <is>
          <t>JFK-SFO</t>
        </is>
      </c>
      <c r="B106" s="19" t="inlineStr">
        <is>
          <t>Meridian Airlines</t>
        </is>
      </c>
      <c r="C106" s="20" t="n">
        <v>320</v>
      </c>
      <c r="D106" s="20" t="n">
        <v>37146</v>
      </c>
      <c r="E106" s="21" t="n">
        <v>0.6409</v>
      </c>
      <c r="F106" s="22" t="n">
        <v>20.8</v>
      </c>
    </row>
    <row r="107">
      <c r="A107" s="5" t="inlineStr">
        <is>
          <t>MIA-ORD</t>
        </is>
      </c>
      <c r="B107" s="5" t="inlineStr">
        <is>
          <t>Northstar Airlines</t>
        </is>
      </c>
      <c r="C107" s="13" t="n">
        <v>322</v>
      </c>
      <c r="D107" s="13" t="n">
        <v>36054</v>
      </c>
      <c r="E107" s="15" t="n">
        <v>0.8239</v>
      </c>
      <c r="F107" s="16" t="n">
        <v>8.779999999999999</v>
      </c>
    </row>
    <row r="108">
      <c r="A108" s="19" t="inlineStr">
        <is>
          <t>MIA-ORD</t>
        </is>
      </c>
      <c r="B108" s="19" t="inlineStr">
        <is>
          <t>Bluewing Airways</t>
        </is>
      </c>
      <c r="C108" s="20" t="n">
        <v>322</v>
      </c>
      <c r="D108" s="20" t="n">
        <v>37899</v>
      </c>
      <c r="E108" s="21" t="n">
        <v>0.7045</v>
      </c>
      <c r="F108" s="22" t="n">
        <v>16.74</v>
      </c>
    </row>
    <row r="109">
      <c r="A109" s="5" t="inlineStr">
        <is>
          <t>MIA-SFO</t>
        </is>
      </c>
      <c r="B109" s="5" t="inlineStr">
        <is>
          <t>Pacific Crest Airways</t>
        </is>
      </c>
      <c r="C109" s="13" t="n">
        <v>323</v>
      </c>
      <c r="D109" s="13" t="n">
        <v>45515</v>
      </c>
      <c r="E109" s="15" t="n">
        <v>0.8219</v>
      </c>
      <c r="F109" s="16" t="n">
        <v>8.19</v>
      </c>
    </row>
    <row r="110">
      <c r="A110" s="19" t="inlineStr">
        <is>
          <t>MIA-SFO</t>
        </is>
      </c>
      <c r="B110" s="19" t="inlineStr">
        <is>
          <t>Coastal Jet</t>
        </is>
      </c>
      <c r="C110" s="20" t="n">
        <v>322</v>
      </c>
      <c r="D110" s="20" t="n">
        <v>47000</v>
      </c>
      <c r="E110" s="21" t="n">
        <v>0.742</v>
      </c>
      <c r="F110" s="22" t="n">
        <v>13.24</v>
      </c>
    </row>
    <row r="111">
      <c r="A111" s="5" t="inlineStr">
        <is>
          <t>ORD-MIA</t>
        </is>
      </c>
      <c r="B111" s="5" t="inlineStr">
        <is>
          <t>Northstar Airlines</t>
        </is>
      </c>
      <c r="C111" s="13" t="n">
        <v>325</v>
      </c>
      <c r="D111" s="13" t="n">
        <v>35770</v>
      </c>
      <c r="E111" s="15" t="n">
        <v>0.7308</v>
      </c>
      <c r="F111" s="16" t="n">
        <v>13.39</v>
      </c>
    </row>
    <row r="112">
      <c r="A112" s="19" t="inlineStr">
        <is>
          <t>ORD-MIA</t>
        </is>
      </c>
      <c r="B112" s="19" t="inlineStr">
        <is>
          <t>Bluewing Airways</t>
        </is>
      </c>
      <c r="C112" s="20" t="n">
        <v>327</v>
      </c>
      <c r="D112" s="20" t="n">
        <v>38547</v>
      </c>
      <c r="E112" s="21" t="n">
        <v>0.6911</v>
      </c>
      <c r="F112" s="22" t="n">
        <v>15.93</v>
      </c>
    </row>
    <row r="113">
      <c r="A113" s="5" t="inlineStr">
        <is>
          <t>SFO-JFK</t>
        </is>
      </c>
      <c r="B113" s="5" t="inlineStr">
        <is>
          <t>Meridian Airlines</t>
        </is>
      </c>
      <c r="C113" s="13" t="n">
        <v>327</v>
      </c>
      <c r="D113" s="13" t="n">
        <v>40615</v>
      </c>
      <c r="E113" s="15" t="n">
        <v>0.8006</v>
      </c>
      <c r="F113" s="16" t="n">
        <v>8.720000000000001</v>
      </c>
    </row>
    <row r="114">
      <c r="A114" s="19" t="inlineStr">
        <is>
          <t>SFO-JFK</t>
        </is>
      </c>
      <c r="B114" s="19" t="inlineStr">
        <is>
          <t>Coastal Jet</t>
        </is>
      </c>
      <c r="C114" s="20" t="n">
        <v>320</v>
      </c>
      <c r="D114" s="20" t="n">
        <v>43425</v>
      </c>
      <c r="E114" s="21" t="n">
        <v>0.7825</v>
      </c>
      <c r="F114" s="22" t="n">
        <v>10.09</v>
      </c>
    </row>
    <row r="115">
      <c r="A115" s="5" t="inlineStr">
        <is>
          <t>SFO-MIA</t>
        </is>
      </c>
      <c r="B115" s="5" t="inlineStr">
        <is>
          <t>Coastal Jet</t>
        </is>
      </c>
      <c r="C115" s="13" t="n">
        <v>320</v>
      </c>
      <c r="D115" s="13" t="n">
        <v>47543</v>
      </c>
      <c r="E115" s="15" t="n">
        <v>0.7197</v>
      </c>
      <c r="F115" s="16" t="n">
        <v>16.22</v>
      </c>
    </row>
    <row r="116">
      <c r="A116" s="19" t="inlineStr">
        <is>
          <t>SFO-MIA</t>
        </is>
      </c>
      <c r="B116" s="19" t="inlineStr">
        <is>
          <t>Pacific Crest Airways</t>
        </is>
      </c>
      <c r="C116" s="20" t="n">
        <v>327</v>
      </c>
      <c r="D116" s="20" t="n">
        <v>44286</v>
      </c>
      <c r="E116" s="21" t="n">
        <v>0.7083</v>
      </c>
      <c r="F116" s="22" t="n">
        <v>16.15</v>
      </c>
    </row>
  </sheetData>
  <conditionalFormatting sqref="B7:B13">
    <cfRule type="dataBar" priority="1">
      <dataBar>
        <cfvo type="min"/>
        <cfvo type="max"/>
        <color rgb="009EC5F4"/>
      </dataBar>
    </cfRule>
  </conditionalFormatting>
  <conditionalFormatting sqref="C7:C13">
    <cfRule type="dataBar" priority="2">
      <dataBar>
        <cfvo type="min"/>
        <cfvo type="max"/>
        <color rgb="009EC5F4"/>
      </dataBar>
    </cfRule>
  </conditionalFormatting>
  <conditionalFormatting sqref="D7:D13">
    <cfRule type="colorScale" priority="3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D19:D28">
    <cfRule type="colorScale" priority="4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G33:G96">
    <cfRule type="dataBar" priority="5">
      <dataBar>
        <cfvo type="min"/>
        <cfvo type="max"/>
        <color rgb="009EC5F4"/>
      </dataBar>
    </cfRule>
  </conditionalFormatting>
  <conditionalFormatting sqref="H33:H96">
    <cfRule type="dataBar" priority="6">
      <dataBar>
        <cfvo type="min"/>
        <cfvo type="max"/>
        <color rgb="009EC5F4"/>
      </dataBar>
    </cfRule>
  </conditionalFormatting>
  <conditionalFormatting sqref="J33:J96">
    <cfRule type="colorScale" priority="7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D101:D116">
    <cfRule type="dataBar" priority="8">
      <dataBar>
        <cfvo type="min"/>
        <cfvo type="max"/>
        <color rgb="009EC5F4"/>
      </dataBar>
    </cfRule>
  </conditionalFormatting>
  <conditionalFormatting sqref="E101:E116">
    <cfRule type="colorScale" priority="9">
      <colorScale>
        <cfvo type="min"/>
        <cfvo type="percentile" val="50"/>
        <cfvo type="max"/>
        <color rgb="00F8B4B4"/>
        <color rgb="00FFFFFF"/>
        <color rgb="00B7E1C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3" customWidth="1" min="4" max="4"/>
    <col width="19" customWidth="1" min="5" max="5"/>
    <col width="17" customWidth="1" min="6" max="6"/>
    <col width="22" customWidth="1" min="7" max="7"/>
    <col width="10" customWidth="1" min="8" max="8"/>
    <col width="21" customWidth="1" min="9" max="9"/>
    <col width="18" customWidth="1" min="10" max="10"/>
    <col width="17" customWidth="1" min="11" max="11"/>
  </cols>
  <sheetData>
    <row r="1">
      <c r="A1" s="1" t="inlineStr">
        <is>
          <t>Airport Analysis</t>
        </is>
      </c>
    </row>
    <row r="2">
      <c r="A2" s="2" t="inlineStr">
        <is>
          <t>Departure metrics attributed to origin. Disruption = cancelled or 60+ min late.</t>
        </is>
      </c>
    </row>
    <row r="3"/>
    <row r="4">
      <c r="A4" s="3" t="inlineStr">
        <is>
          <t>Airport disruption ranking</t>
        </is>
      </c>
    </row>
    <row r="5" ht="30" customHeight="1">
      <c r="A5" s="14" t="inlineStr">
        <is>
          <t>Airport</t>
        </is>
      </c>
      <c r="B5" s="14" t="inlineStr">
        <is>
          <t>Departures</t>
        </is>
      </c>
      <c r="C5" s="14" t="inlineStr">
        <is>
          <t>Avg Delay (min)</t>
        </is>
      </c>
      <c r="D5" s="14" t="inlineStr">
        <is>
          <t>On-Time Rate</t>
        </is>
      </c>
      <c r="E5" s="14" t="inlineStr">
        <is>
          <t>Cancellation Rate</t>
        </is>
      </c>
      <c r="F5" s="14" t="inlineStr">
        <is>
          <t>Disruption Rate</t>
        </is>
      </c>
      <c r="G5" s="14" t="inlineStr">
        <is>
          <t>Departing Passengers</t>
        </is>
      </c>
      <c r="H5" s="14" t="inlineStr">
        <is>
          <t>Arrivals</t>
        </is>
      </c>
      <c r="I5" s="14" t="inlineStr">
        <is>
          <t>Arriving Passengers</t>
        </is>
      </c>
      <c r="J5" s="14" t="inlineStr">
        <is>
          <t>Total Passengers</t>
        </is>
      </c>
      <c r="K5" s="14" t="inlineStr">
        <is>
          <t>Disruption Rank</t>
        </is>
      </c>
    </row>
    <row r="6">
      <c r="A6" s="5" t="inlineStr">
        <is>
          <t>ORD</t>
        </is>
      </c>
      <c r="B6" s="13" t="n">
        <v>1948</v>
      </c>
      <c r="C6" s="16" t="n">
        <v>19.07</v>
      </c>
      <c r="D6" s="15" t="n">
        <v>0.655</v>
      </c>
      <c r="E6" s="15" t="n">
        <v>0.0626</v>
      </c>
      <c r="F6" s="15" t="n">
        <v>0.1694</v>
      </c>
      <c r="G6" s="13" t="n">
        <v>220714</v>
      </c>
      <c r="H6" s="13" t="n">
        <v>1936</v>
      </c>
      <c r="I6" s="13" t="n">
        <v>227160</v>
      </c>
      <c r="J6" s="13" t="n">
        <v>447874</v>
      </c>
      <c r="K6" s="18" t="n">
        <v>1</v>
      </c>
    </row>
    <row r="7">
      <c r="A7" s="19" t="inlineStr">
        <is>
          <t>EWR</t>
        </is>
      </c>
      <c r="B7" s="20" t="n">
        <v>958</v>
      </c>
      <c r="C7" s="22" t="n">
        <v>19.38</v>
      </c>
      <c r="D7" s="21" t="n">
        <v>0.6641</v>
      </c>
      <c r="E7" s="21" t="n">
        <v>0.0522</v>
      </c>
      <c r="F7" s="21" t="n">
        <v>0.1576</v>
      </c>
      <c r="G7" s="20" t="n">
        <v>77247</v>
      </c>
      <c r="H7" s="20" t="n">
        <v>960</v>
      </c>
      <c r="I7" s="20" t="n">
        <v>79701</v>
      </c>
      <c r="J7" s="20" t="n">
        <v>156948</v>
      </c>
      <c r="K7" s="24" t="n">
        <v>2</v>
      </c>
    </row>
    <row r="8">
      <c r="A8" s="5" t="inlineStr">
        <is>
          <t>JFK</t>
        </is>
      </c>
      <c r="B8" s="13" t="n">
        <v>2885</v>
      </c>
      <c r="C8" s="16" t="n">
        <v>18.63</v>
      </c>
      <c r="D8" s="15" t="n">
        <v>0.6808999999999999</v>
      </c>
      <c r="E8" s="15" t="n">
        <v>0.0485</v>
      </c>
      <c r="F8" s="15" t="n">
        <v>0.1525</v>
      </c>
      <c r="G8" s="13" t="n">
        <v>333697</v>
      </c>
      <c r="H8" s="13" t="n">
        <v>2924</v>
      </c>
      <c r="I8" s="13" t="n">
        <v>345524</v>
      </c>
      <c r="J8" s="13" t="n">
        <v>679221</v>
      </c>
      <c r="K8" s="18" t="n">
        <v>3</v>
      </c>
    </row>
    <row r="9">
      <c r="A9" s="19" t="inlineStr">
        <is>
          <t>BOS</t>
        </is>
      </c>
      <c r="B9" s="20" t="n">
        <v>1265</v>
      </c>
      <c r="C9" s="22" t="n">
        <v>18.11</v>
      </c>
      <c r="D9" s="21" t="n">
        <v>0.6802</v>
      </c>
      <c r="E9" s="21" t="n">
        <v>0.0458</v>
      </c>
      <c r="F9" s="21" t="n">
        <v>0.1344</v>
      </c>
      <c r="G9" s="20" t="n">
        <v>121111</v>
      </c>
      <c r="H9" s="20" t="n">
        <v>1316</v>
      </c>
      <c r="I9" s="20" t="n">
        <v>123999</v>
      </c>
      <c r="J9" s="20" t="n">
        <v>245110</v>
      </c>
      <c r="K9" s="24" t="n">
        <v>4</v>
      </c>
    </row>
    <row r="10">
      <c r="A10" s="5" t="inlineStr">
        <is>
          <t>LAX</t>
        </is>
      </c>
      <c r="B10" s="13" t="n">
        <v>1615</v>
      </c>
      <c r="C10" s="16" t="n">
        <v>15.67</v>
      </c>
      <c r="D10" s="15" t="n">
        <v>0.7255</v>
      </c>
      <c r="E10" s="15" t="n">
        <v>0.0322</v>
      </c>
      <c r="F10" s="15" t="n">
        <v>0.1201</v>
      </c>
      <c r="G10" s="13" t="n">
        <v>137932</v>
      </c>
      <c r="H10" s="13" t="n">
        <v>1608</v>
      </c>
      <c r="I10" s="13" t="n">
        <v>135072</v>
      </c>
      <c r="J10" s="13" t="n">
        <v>273004</v>
      </c>
      <c r="K10" s="18" t="n">
        <v>5</v>
      </c>
    </row>
    <row r="11">
      <c r="A11" s="19" t="inlineStr">
        <is>
          <t>ATL</t>
        </is>
      </c>
      <c r="B11" s="20" t="n">
        <v>966</v>
      </c>
      <c r="C11" s="22" t="n">
        <v>15.06</v>
      </c>
      <c r="D11" s="21" t="n">
        <v>0.7204</v>
      </c>
      <c r="E11" s="21" t="n">
        <v>0.03</v>
      </c>
      <c r="F11" s="21" t="n">
        <v>0.1139</v>
      </c>
      <c r="G11" s="20" t="n">
        <v>127803</v>
      </c>
      <c r="H11" s="20" t="n">
        <v>945</v>
      </c>
      <c r="I11" s="20" t="n">
        <v>126338</v>
      </c>
      <c r="J11" s="20" t="n">
        <v>254141</v>
      </c>
      <c r="K11" s="24" t="n">
        <v>6</v>
      </c>
    </row>
    <row r="12">
      <c r="A12" s="5" t="inlineStr">
        <is>
          <t>SFO</t>
        </is>
      </c>
      <c r="B12" s="13" t="n">
        <v>2583</v>
      </c>
      <c r="C12" s="16" t="n">
        <v>13.82</v>
      </c>
      <c r="D12" s="15" t="n">
        <v>0.7388</v>
      </c>
      <c r="E12" s="15" t="n">
        <v>0.029</v>
      </c>
      <c r="F12" s="15" t="n">
        <v>0.1034</v>
      </c>
      <c r="G12" s="13" t="n">
        <v>321256</v>
      </c>
      <c r="H12" s="13" t="n">
        <v>2560</v>
      </c>
      <c r="I12" s="13" t="n">
        <v>317180</v>
      </c>
      <c r="J12" s="13" t="n">
        <v>638436</v>
      </c>
      <c r="K12" s="18" t="n">
        <v>7</v>
      </c>
    </row>
    <row r="13">
      <c r="A13" s="19" t="inlineStr">
        <is>
          <t>DEN</t>
        </is>
      </c>
      <c r="B13" s="20" t="n">
        <v>2299</v>
      </c>
      <c r="C13" s="22" t="n">
        <v>13.24</v>
      </c>
      <c r="D13" s="21" t="n">
        <v>0.7438</v>
      </c>
      <c r="E13" s="21" t="n">
        <v>0.0339</v>
      </c>
      <c r="F13" s="21" t="n">
        <v>0.0974</v>
      </c>
      <c r="G13" s="20" t="n">
        <v>194627</v>
      </c>
      <c r="H13" s="20" t="n">
        <v>2267</v>
      </c>
      <c r="I13" s="20" t="n">
        <v>191247</v>
      </c>
      <c r="J13" s="20" t="n">
        <v>385874</v>
      </c>
      <c r="K13" s="24" t="n">
        <v>8</v>
      </c>
    </row>
    <row r="14">
      <c r="A14" s="5" t="inlineStr">
        <is>
          <t>MSP</t>
        </is>
      </c>
      <c r="B14" s="13" t="n">
        <v>1587</v>
      </c>
      <c r="C14" s="16" t="n">
        <v>12.38</v>
      </c>
      <c r="D14" s="15" t="n">
        <v>0.7729</v>
      </c>
      <c r="E14" s="15" t="n">
        <v>0.0233</v>
      </c>
      <c r="F14" s="15" t="n">
        <v>0.0882</v>
      </c>
      <c r="G14" s="13" t="n">
        <v>181174</v>
      </c>
      <c r="H14" s="13" t="n">
        <v>1599</v>
      </c>
      <c r="I14" s="13" t="n">
        <v>182828</v>
      </c>
      <c r="J14" s="13" t="n">
        <v>364002</v>
      </c>
      <c r="K14" s="18" t="n">
        <v>9</v>
      </c>
    </row>
    <row r="15">
      <c r="A15" s="19" t="inlineStr">
        <is>
          <t>DFW</t>
        </is>
      </c>
      <c r="B15" s="20" t="n">
        <v>1936</v>
      </c>
      <c r="C15" s="22" t="n">
        <v>11.32</v>
      </c>
      <c r="D15" s="21" t="n">
        <v>0.7783</v>
      </c>
      <c r="E15" s="21" t="n">
        <v>0.0284</v>
      </c>
      <c r="F15" s="21" t="n">
        <v>0.079</v>
      </c>
      <c r="G15" s="20" t="n">
        <v>183868</v>
      </c>
      <c r="H15" s="20" t="n">
        <v>1945</v>
      </c>
      <c r="I15" s="20" t="n">
        <v>185125</v>
      </c>
      <c r="J15" s="20" t="n">
        <v>368993</v>
      </c>
      <c r="K15" s="24" t="n">
        <v>10</v>
      </c>
    </row>
    <row r="16">
      <c r="A16" s="5" t="inlineStr">
        <is>
          <t>MIA</t>
        </is>
      </c>
      <c r="B16" s="13" t="n">
        <v>2576</v>
      </c>
      <c r="C16" s="16" t="n">
        <v>11.79</v>
      </c>
      <c r="D16" s="15" t="n">
        <v>0.7673</v>
      </c>
      <c r="E16" s="15" t="n">
        <v>0.0225</v>
      </c>
      <c r="F16" s="15" t="n">
        <v>0.0757</v>
      </c>
      <c r="G16" s="13" t="n">
        <v>320240</v>
      </c>
      <c r="H16" s="13" t="n">
        <v>2563</v>
      </c>
      <c r="I16" s="13" t="n">
        <v>316519</v>
      </c>
      <c r="J16" s="13" t="n">
        <v>636759</v>
      </c>
      <c r="K16" s="18" t="n">
        <v>11</v>
      </c>
    </row>
    <row r="17">
      <c r="A17" s="19" t="inlineStr">
        <is>
          <t>CLT</t>
        </is>
      </c>
      <c r="B17" s="20" t="n">
        <v>1932</v>
      </c>
      <c r="C17" s="22" t="n">
        <v>10.53</v>
      </c>
      <c r="D17" s="21" t="n">
        <v>0.7967</v>
      </c>
      <c r="E17" s="21" t="n">
        <v>0.0223</v>
      </c>
      <c r="F17" s="21" t="n">
        <v>0.0751</v>
      </c>
      <c r="G17" s="20" t="n">
        <v>200429</v>
      </c>
      <c r="H17" s="20" t="n">
        <v>1933</v>
      </c>
      <c r="I17" s="20" t="n">
        <v>200706</v>
      </c>
      <c r="J17" s="20" t="n">
        <v>401135</v>
      </c>
      <c r="K17" s="24" t="n">
        <v>12</v>
      </c>
    </row>
    <row r="18">
      <c r="A18" s="5" t="inlineStr">
        <is>
          <t>LAS</t>
        </is>
      </c>
      <c r="B18" s="13" t="n">
        <v>1612</v>
      </c>
      <c r="C18" s="16" t="n">
        <v>10.54</v>
      </c>
      <c r="D18" s="15" t="n">
        <v>0.7896</v>
      </c>
      <c r="E18" s="15" t="n">
        <v>0.0242</v>
      </c>
      <c r="F18" s="15" t="n">
        <v>0.0751</v>
      </c>
      <c r="G18" s="13" t="n">
        <v>181474</v>
      </c>
      <c r="H18" s="13" t="n">
        <v>1587</v>
      </c>
      <c r="I18" s="13" t="n">
        <v>174429</v>
      </c>
      <c r="J18" s="13" t="n">
        <v>355903</v>
      </c>
      <c r="K18" s="18" t="n">
        <v>12</v>
      </c>
    </row>
    <row r="19">
      <c r="A19" s="19" t="inlineStr">
        <is>
          <t>SEA</t>
        </is>
      </c>
      <c r="B19" s="20" t="n">
        <v>1282</v>
      </c>
      <c r="C19" s="22" t="n">
        <v>9.19</v>
      </c>
      <c r="D19" s="21" t="n">
        <v>0.8245</v>
      </c>
      <c r="E19" s="21" t="n">
        <v>0.0179</v>
      </c>
      <c r="F19" s="21" t="n">
        <v>0.0624</v>
      </c>
      <c r="G19" s="20" t="n">
        <v>165645</v>
      </c>
      <c r="H19" s="20" t="n">
        <v>1292</v>
      </c>
      <c r="I19" s="20" t="n">
        <v>164650</v>
      </c>
      <c r="J19" s="20" t="n">
        <v>330295</v>
      </c>
      <c r="K19" s="24" t="n">
        <v>14</v>
      </c>
    </row>
    <row r="20">
      <c r="A20" s="5" t="inlineStr">
        <is>
          <t>PHX</t>
        </is>
      </c>
      <c r="B20" s="13" t="n">
        <v>2236</v>
      </c>
      <c r="C20" s="16" t="n">
        <v>8.779999999999999</v>
      </c>
      <c r="D20" s="15" t="n">
        <v>0.8138</v>
      </c>
      <c r="E20" s="15" t="n">
        <v>0.0224</v>
      </c>
      <c r="F20" s="15" t="n">
        <v>0.0581</v>
      </c>
      <c r="G20" s="13" t="n">
        <v>223122</v>
      </c>
      <c r="H20" s="13" t="n">
        <v>2245</v>
      </c>
      <c r="I20" s="13" t="n">
        <v>219861</v>
      </c>
      <c r="J20" s="13" t="n">
        <v>442983</v>
      </c>
      <c r="K20" s="18" t="n">
        <v>15</v>
      </c>
    </row>
    <row r="21"/>
    <row r="22"/>
    <row r="23">
      <c r="A23" s="3" t="inlineStr">
        <is>
          <t>Seasonal on-time rate by airport</t>
        </is>
      </c>
    </row>
    <row r="24" ht="30" customHeight="1">
      <c r="A24" s="14" t="inlineStr">
        <is>
          <t>Airport</t>
        </is>
      </c>
      <c r="B24" s="14" t="inlineStr">
        <is>
          <t>Winter On-Time Rate</t>
        </is>
      </c>
      <c r="C24" s="14" t="inlineStr">
        <is>
          <t>Summer On-Time Rate</t>
        </is>
      </c>
      <c r="D24" s="14" t="inlineStr">
        <is>
          <t>Shoulder On-Time Rate</t>
        </is>
      </c>
    </row>
    <row r="25">
      <c r="A25" s="5" t="inlineStr">
        <is>
          <t>ORD</t>
        </is>
      </c>
      <c r="B25" s="15" t="n">
        <v>0.5492</v>
      </c>
      <c r="C25" s="15" t="n">
        <v>0.5341</v>
      </c>
      <c r="D25" s="15" t="n">
        <v>0.7562</v>
      </c>
    </row>
    <row r="26">
      <c r="A26" s="19" t="inlineStr">
        <is>
          <t>BOS</t>
        </is>
      </c>
      <c r="B26" s="21" t="n">
        <v>0.5795</v>
      </c>
      <c r="C26" s="21" t="n">
        <v>0.631</v>
      </c>
      <c r="D26" s="21" t="n">
        <v>0.7528</v>
      </c>
    </row>
    <row r="27">
      <c r="A27" s="5" t="inlineStr">
        <is>
          <t>JFK</t>
        </is>
      </c>
      <c r="B27" s="15" t="n">
        <v>0.5827</v>
      </c>
      <c r="C27" s="15" t="n">
        <v>0.5871</v>
      </c>
      <c r="D27" s="15" t="n">
        <v>0.772</v>
      </c>
    </row>
    <row r="28">
      <c r="A28" s="19" t="inlineStr">
        <is>
          <t>EWR</t>
        </is>
      </c>
      <c r="B28" s="21" t="n">
        <v>0.5857</v>
      </c>
      <c r="C28" s="21" t="n">
        <v>0.5778</v>
      </c>
      <c r="D28" s="21" t="n">
        <v>0.74</v>
      </c>
    </row>
    <row r="29">
      <c r="A29" s="5" t="inlineStr">
        <is>
          <t>SFO</t>
        </is>
      </c>
      <c r="B29" s="15" t="n">
        <v>0.6741</v>
      </c>
      <c r="C29" s="15" t="n">
        <v>0.6804</v>
      </c>
      <c r="D29" s="15" t="n">
        <v>0.8008</v>
      </c>
    </row>
    <row r="30">
      <c r="A30" s="19" t="inlineStr">
        <is>
          <t>LAX</t>
        </is>
      </c>
      <c r="B30" s="21" t="n">
        <v>0.6845</v>
      </c>
      <c r="C30" s="21" t="n">
        <v>0.6608000000000001</v>
      </c>
      <c r="D30" s="21" t="n">
        <v>0.7771</v>
      </c>
    </row>
    <row r="31">
      <c r="A31" s="5" t="inlineStr">
        <is>
          <t>DEN</t>
        </is>
      </c>
      <c r="B31" s="15" t="n">
        <v>0.6932</v>
      </c>
      <c r="C31" s="15" t="n">
        <v>0.7117</v>
      </c>
      <c r="D31" s="15" t="n">
        <v>0.7836</v>
      </c>
    </row>
    <row r="32">
      <c r="A32" s="19" t="inlineStr">
        <is>
          <t>MSP</t>
        </is>
      </c>
      <c r="B32" s="21" t="n">
        <v>0.7078</v>
      </c>
      <c r="C32" s="21" t="n">
        <v>0.7292999999999999</v>
      </c>
      <c r="D32" s="21" t="n">
        <v>0.8265</v>
      </c>
    </row>
    <row r="33">
      <c r="A33" s="5" t="inlineStr">
        <is>
          <t>ATL</t>
        </is>
      </c>
      <c r="B33" s="15" t="n">
        <v>0.7119</v>
      </c>
      <c r="C33" s="15" t="n">
        <v>0.6054</v>
      </c>
      <c r="D33" s="15" t="n">
        <v>0.7782</v>
      </c>
    </row>
    <row r="34">
      <c r="A34" s="19" t="inlineStr">
        <is>
          <t>LAS</t>
        </is>
      </c>
      <c r="B34" s="21" t="n">
        <v>0.7344000000000001</v>
      </c>
      <c r="C34" s="21" t="n">
        <v>0.773</v>
      </c>
      <c r="D34" s="21" t="n">
        <v>0.8243</v>
      </c>
    </row>
    <row r="35">
      <c r="A35" s="5" t="inlineStr">
        <is>
          <t>MIA</t>
        </is>
      </c>
      <c r="B35" s="15" t="n">
        <v>0.7435</v>
      </c>
      <c r="C35" s="15" t="n">
        <v>0.6916</v>
      </c>
      <c r="D35" s="15" t="n">
        <v>0.8159999999999999</v>
      </c>
    </row>
    <row r="36">
      <c r="A36" s="19" t="inlineStr">
        <is>
          <t>DFW</t>
        </is>
      </c>
      <c r="B36" s="21" t="n">
        <v>0.7468</v>
      </c>
      <c r="C36" s="21" t="n">
        <v>0.6996</v>
      </c>
      <c r="D36" s="21" t="n">
        <v>0.8335</v>
      </c>
    </row>
    <row r="37">
      <c r="A37" s="5" t="inlineStr">
        <is>
          <t>SEA</t>
        </is>
      </c>
      <c r="B37" s="15" t="n">
        <v>0.7668</v>
      </c>
      <c r="C37" s="15" t="n">
        <v>0.7923</v>
      </c>
      <c r="D37" s="15" t="n">
        <v>0.8689</v>
      </c>
    </row>
    <row r="38">
      <c r="A38" s="19" t="inlineStr">
        <is>
          <t>CLT</t>
        </is>
      </c>
      <c r="B38" s="21" t="n">
        <v>0.7804</v>
      </c>
      <c r="C38" s="21" t="n">
        <v>0.7181999999999999</v>
      </c>
      <c r="D38" s="21" t="n">
        <v>0.8433</v>
      </c>
    </row>
    <row r="39">
      <c r="A39" s="5" t="inlineStr">
        <is>
          <t>PHX</t>
        </is>
      </c>
      <c r="B39" s="15" t="n">
        <v>0.7833</v>
      </c>
      <c r="C39" s="15" t="n">
        <v>0.7496</v>
      </c>
      <c r="D39" s="15" t="n">
        <v>0.861</v>
      </c>
    </row>
    <row r="40"/>
    <row r="41"/>
    <row r="42">
      <c r="A42" s="3" t="inlineStr">
        <is>
          <t>Delay by scheduled departure hour</t>
        </is>
      </c>
    </row>
    <row r="43" ht="30" customHeight="1">
      <c r="A43" s="14" t="inlineStr">
        <is>
          <t>Departure Hour</t>
        </is>
      </c>
      <c r="B43" s="14" t="inlineStr">
        <is>
          <t>Flights</t>
        </is>
      </c>
      <c r="C43" s="14" t="inlineStr">
        <is>
          <t>Avg Delay (min)</t>
        </is>
      </c>
      <c r="D43" s="14" t="inlineStr">
        <is>
          <t>On-Time Rate</t>
        </is>
      </c>
      <c r="E43" s="14" t="inlineStr">
        <is>
          <t>Cancellation Rate</t>
        </is>
      </c>
    </row>
    <row r="44">
      <c r="A44" s="18" t="n">
        <v>6</v>
      </c>
      <c r="B44" s="13" t="n">
        <v>970</v>
      </c>
      <c r="C44" s="16" t="n">
        <v>8.779999999999999</v>
      </c>
      <c r="D44" s="15" t="n">
        <v>0.8209</v>
      </c>
      <c r="E44" s="15" t="n">
        <v>0.0216</v>
      </c>
    </row>
    <row r="45">
      <c r="A45" s="24" t="n">
        <v>7</v>
      </c>
      <c r="B45" s="20" t="n">
        <v>4494</v>
      </c>
      <c r="C45" s="22" t="n">
        <v>11.82</v>
      </c>
      <c r="D45" s="21" t="n">
        <v>0.7742</v>
      </c>
      <c r="E45" s="21" t="n">
        <v>0.0274</v>
      </c>
    </row>
    <row r="46">
      <c r="A46" s="18" t="n">
        <v>8</v>
      </c>
      <c r="B46" s="13" t="n">
        <v>1615</v>
      </c>
      <c r="C46" s="16" t="n">
        <v>8.289999999999999</v>
      </c>
      <c r="D46" s="15" t="n">
        <v>0.8164</v>
      </c>
      <c r="E46" s="15" t="n">
        <v>0.0155</v>
      </c>
    </row>
    <row r="47">
      <c r="A47" s="24" t="n">
        <v>9</v>
      </c>
      <c r="B47" s="20" t="n">
        <v>1274</v>
      </c>
      <c r="C47" s="22" t="n">
        <v>11.94</v>
      </c>
      <c r="D47" s="21" t="n">
        <v>0.7645999999999999</v>
      </c>
      <c r="E47" s="21" t="n">
        <v>0.0165</v>
      </c>
    </row>
    <row r="48">
      <c r="A48" s="18" t="n">
        <v>10</v>
      </c>
      <c r="B48" s="13" t="n">
        <v>1288</v>
      </c>
      <c r="C48" s="16" t="n">
        <v>12.58</v>
      </c>
      <c r="D48" s="15" t="n">
        <v>0.7604</v>
      </c>
      <c r="E48" s="15" t="n">
        <v>0.0311</v>
      </c>
    </row>
    <row r="49">
      <c r="A49" s="24" t="n">
        <v>11</v>
      </c>
      <c r="B49" s="20" t="n">
        <v>961</v>
      </c>
      <c r="C49" s="22" t="n">
        <v>11.3</v>
      </c>
      <c r="D49" s="21" t="n">
        <v>0.785</v>
      </c>
      <c r="E49" s="21" t="n">
        <v>0.0177</v>
      </c>
    </row>
    <row r="50">
      <c r="A50" s="18" t="n">
        <v>12</v>
      </c>
      <c r="B50" s="13" t="n">
        <v>1286</v>
      </c>
      <c r="C50" s="16" t="n">
        <v>13.3</v>
      </c>
      <c r="D50" s="15" t="n">
        <v>0.7582</v>
      </c>
      <c r="E50" s="15" t="n">
        <v>0.0257</v>
      </c>
    </row>
    <row r="51">
      <c r="A51" s="24" t="n">
        <v>13</v>
      </c>
      <c r="B51" s="20" t="n">
        <v>3250</v>
      </c>
      <c r="C51" s="22" t="n">
        <v>14.82</v>
      </c>
      <c r="D51" s="21" t="n">
        <v>0.7235</v>
      </c>
      <c r="E51" s="21" t="n">
        <v>0.0406</v>
      </c>
    </row>
    <row r="52">
      <c r="A52" s="18" t="n">
        <v>14</v>
      </c>
      <c r="B52" s="13" t="n">
        <v>955</v>
      </c>
      <c r="C52" s="16" t="n">
        <v>13.57</v>
      </c>
      <c r="D52" s="15" t="n">
        <v>0.743</v>
      </c>
      <c r="E52" s="15" t="n">
        <v>0.0304</v>
      </c>
    </row>
    <row r="53">
      <c r="A53" s="24" t="n">
        <v>15</v>
      </c>
      <c r="B53" s="20" t="n">
        <v>2574</v>
      </c>
      <c r="C53" s="22" t="n">
        <v>12.97</v>
      </c>
      <c r="D53" s="21" t="n">
        <v>0.7559</v>
      </c>
      <c r="E53" s="21" t="n">
        <v>0.0322</v>
      </c>
    </row>
    <row r="54">
      <c r="A54" s="18" t="n">
        <v>16</v>
      </c>
      <c r="B54" s="13" t="n">
        <v>3222</v>
      </c>
      <c r="C54" s="16" t="n">
        <v>16.15</v>
      </c>
      <c r="D54" s="15" t="n">
        <v>0.7084</v>
      </c>
      <c r="E54" s="15" t="n">
        <v>0.0366</v>
      </c>
    </row>
    <row r="55">
      <c r="A55" s="24" t="n">
        <v>17</v>
      </c>
      <c r="B55" s="20" t="n">
        <v>3520</v>
      </c>
      <c r="C55" s="22" t="n">
        <v>17.21</v>
      </c>
      <c r="D55" s="21" t="n">
        <v>0.6911</v>
      </c>
      <c r="E55" s="21" t="n">
        <v>0.05</v>
      </c>
    </row>
    <row r="56">
      <c r="A56" s="18" t="n">
        <v>18</v>
      </c>
      <c r="B56" s="13" t="n">
        <v>668</v>
      </c>
      <c r="C56" s="16" t="n">
        <v>12.81</v>
      </c>
      <c r="D56" s="15" t="n">
        <v>0.7531</v>
      </c>
      <c r="E56" s="15" t="n">
        <v>0.0479</v>
      </c>
    </row>
    <row r="57">
      <c r="A57" s="24" t="n">
        <v>19</v>
      </c>
      <c r="B57" s="20" t="n">
        <v>630</v>
      </c>
      <c r="C57" s="22" t="n">
        <v>20.41</v>
      </c>
      <c r="D57" s="21" t="n">
        <v>0.6639</v>
      </c>
      <c r="E57" s="21" t="n">
        <v>0.0413</v>
      </c>
    </row>
    <row r="58">
      <c r="A58" s="18" t="n">
        <v>20</v>
      </c>
      <c r="B58" s="13" t="n">
        <v>647</v>
      </c>
      <c r="C58" s="16" t="n">
        <v>17.41</v>
      </c>
      <c r="D58" s="15" t="n">
        <v>0.7039</v>
      </c>
      <c r="E58" s="15" t="n">
        <v>0.0448</v>
      </c>
    </row>
    <row r="59">
      <c r="A59" s="24" t="n">
        <v>21</v>
      </c>
      <c r="B59" s="20" t="n">
        <v>326</v>
      </c>
      <c r="C59" s="22" t="n">
        <v>13.39</v>
      </c>
      <c r="D59" s="21" t="n">
        <v>0.7764</v>
      </c>
      <c r="E59" s="21" t="n">
        <v>0.0123</v>
      </c>
    </row>
  </sheetData>
  <conditionalFormatting sqref="D6:D20">
    <cfRule type="colorScale" priority="1">
      <colorScale>
        <cfvo type="min"/>
        <cfvo type="percentile" val="50"/>
        <cfvo type="max"/>
        <color rgb="00F8B4B4"/>
        <color rgb="00FFFFFF"/>
        <color rgb="00B7E1C1"/>
      </colorScale>
    </cfRule>
  </conditionalFormatting>
  <conditionalFormatting sqref="D44:D59">
    <cfRule type="colorScale" priority="2">
      <colorScale>
        <cfvo type="min"/>
        <cfvo type="percentile" val="50"/>
        <cfvo type="max"/>
        <color rgb="00F8B4B4"/>
        <color rgb="00FFFFFF"/>
        <color rgb="00B7E1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7" customWidth="1" min="4" max="4"/>
    <col width="15" customWidth="1" min="5" max="5"/>
    <col width="18" customWidth="1" min="6" max="6"/>
    <col width="18" customWidth="1" min="7" max="7"/>
    <col width="23" customWidth="1" min="8" max="8"/>
  </cols>
  <sheetData>
    <row r="1">
      <c r="A1" s="1" t="inlineStr">
        <is>
          <t>Passenger Analysis</t>
        </is>
      </c>
    </row>
    <row r="2">
      <c r="A2" s="2" t="inlineStr">
        <is>
          <t>Passengers on operated flights, by month and cabin.</t>
        </is>
      </c>
    </row>
    <row r="3"/>
    <row r="4">
      <c r="A4" s="3" t="inlineStr">
        <is>
          <t>Monthly passengers</t>
        </is>
      </c>
    </row>
    <row r="5" ht="30" customHeight="1">
      <c r="A5" s="14" t="inlineStr">
        <is>
          <t>Month</t>
        </is>
      </c>
      <c r="B5" s="14" t="inlineStr">
        <is>
          <t>Passengers</t>
        </is>
      </c>
      <c r="C5" s="14" t="inlineStr">
        <is>
          <t>Economy</t>
        </is>
      </c>
      <c r="D5" s="14" t="inlineStr">
        <is>
          <t>Premium Economy</t>
        </is>
      </c>
      <c r="E5" s="14" t="inlineStr">
        <is>
          <t>Business</t>
        </is>
      </c>
      <c r="F5" s="14" t="inlineStr">
        <is>
          <t>Revenue</t>
        </is>
      </c>
      <c r="G5" s="14" t="inlineStr">
        <is>
          <t>Avg Ticket Price</t>
        </is>
      </c>
      <c r="H5" s="14" t="inlineStr">
        <is>
          <t>Passengers MoM Change</t>
        </is>
      </c>
    </row>
    <row r="6">
      <c r="A6" s="5" t="inlineStr">
        <is>
          <t>2025-01</t>
        </is>
      </c>
      <c r="B6" s="13" t="n">
        <v>217191</v>
      </c>
      <c r="C6" s="13" t="n">
        <v>184038</v>
      </c>
      <c r="D6" s="13" t="n">
        <v>15184</v>
      </c>
      <c r="E6" s="13" t="n">
        <v>17969</v>
      </c>
      <c r="F6" s="17" t="n">
        <v>57682170.02</v>
      </c>
      <c r="G6" s="25" t="n">
        <v>265.58</v>
      </c>
      <c r="H6" s="15" t="n"/>
    </row>
    <row r="7">
      <c r="A7" s="19" t="inlineStr">
        <is>
          <t>2025-02</t>
        </is>
      </c>
      <c r="B7" s="20" t="n">
        <v>206746</v>
      </c>
      <c r="C7" s="20" t="n">
        <v>175315</v>
      </c>
      <c r="D7" s="20" t="n">
        <v>14178</v>
      </c>
      <c r="E7" s="20" t="n">
        <v>17253</v>
      </c>
      <c r="F7" s="23" t="n">
        <v>56084741.45</v>
      </c>
      <c r="G7" s="26" t="n">
        <v>271.27</v>
      </c>
      <c r="H7" s="21" t="n">
        <v>-0.0481</v>
      </c>
    </row>
    <row r="8">
      <c r="A8" s="5" t="inlineStr">
        <is>
          <t>2025-03</t>
        </is>
      </c>
      <c r="B8" s="13" t="n">
        <v>252298</v>
      </c>
      <c r="C8" s="13" t="n">
        <v>213541</v>
      </c>
      <c r="D8" s="13" t="n">
        <v>17398</v>
      </c>
      <c r="E8" s="13" t="n">
        <v>21359</v>
      </c>
      <c r="F8" s="17" t="n">
        <v>75943874.20999999</v>
      </c>
      <c r="G8" s="25" t="n">
        <v>301.01</v>
      </c>
      <c r="H8" s="15" t="n">
        <v>0.2203</v>
      </c>
    </row>
    <row r="9">
      <c r="A9" s="19" t="inlineStr">
        <is>
          <t>2025-04</t>
        </is>
      </c>
      <c r="B9" s="20" t="n">
        <v>241147</v>
      </c>
      <c r="C9" s="20" t="n">
        <v>204392</v>
      </c>
      <c r="D9" s="20" t="n">
        <v>16482</v>
      </c>
      <c r="E9" s="20" t="n">
        <v>20273</v>
      </c>
      <c r="F9" s="23" t="n">
        <v>69975104.86</v>
      </c>
      <c r="G9" s="26" t="n">
        <v>290.18</v>
      </c>
      <c r="H9" s="21" t="n">
        <v>-0.0442</v>
      </c>
    </row>
    <row r="10">
      <c r="A10" s="5" t="inlineStr">
        <is>
          <t>2025-05</t>
        </is>
      </c>
      <c r="B10" s="13" t="n">
        <v>261601</v>
      </c>
      <c r="C10" s="13" t="n">
        <v>221562</v>
      </c>
      <c r="D10" s="13" t="n">
        <v>17979</v>
      </c>
      <c r="E10" s="13" t="n">
        <v>22060</v>
      </c>
      <c r="F10" s="17" t="n">
        <v>80218104.81999999</v>
      </c>
      <c r="G10" s="25" t="n">
        <v>306.64</v>
      </c>
      <c r="H10" s="15" t="n">
        <v>0.0848</v>
      </c>
    </row>
    <row r="11">
      <c r="A11" s="19" t="inlineStr">
        <is>
          <t>2025-06</t>
        </is>
      </c>
      <c r="B11" s="20" t="n">
        <v>265870</v>
      </c>
      <c r="C11" s="20" t="n">
        <v>225246</v>
      </c>
      <c r="D11" s="20" t="n">
        <v>18343</v>
      </c>
      <c r="E11" s="20" t="n">
        <v>22281</v>
      </c>
      <c r="F11" s="23" t="n">
        <v>91529190.66</v>
      </c>
      <c r="G11" s="26" t="n">
        <v>344.26</v>
      </c>
      <c r="H11" s="21" t="n">
        <v>0.0163</v>
      </c>
    </row>
    <row r="12">
      <c r="A12" s="5" t="inlineStr">
        <is>
          <t>2025-07</t>
        </is>
      </c>
      <c r="B12" s="13" t="n">
        <v>280218</v>
      </c>
      <c r="C12" s="13" t="n">
        <v>237328</v>
      </c>
      <c r="D12" s="13" t="n">
        <v>19459</v>
      </c>
      <c r="E12" s="13" t="n">
        <v>23431</v>
      </c>
      <c r="F12" s="17" t="n">
        <v>97363087.01000001</v>
      </c>
      <c r="G12" s="25" t="n">
        <v>347.45</v>
      </c>
      <c r="H12" s="15" t="n">
        <v>0.054</v>
      </c>
    </row>
    <row r="13">
      <c r="A13" s="19" t="inlineStr">
        <is>
          <t>2025-08</t>
        </is>
      </c>
      <c r="B13" s="20" t="n">
        <v>273008</v>
      </c>
      <c r="C13" s="20" t="n">
        <v>231215</v>
      </c>
      <c r="D13" s="20" t="n">
        <v>18882</v>
      </c>
      <c r="E13" s="20" t="n">
        <v>22911</v>
      </c>
      <c r="F13" s="23" t="n">
        <v>89131145.81</v>
      </c>
      <c r="G13" s="26" t="n">
        <v>326.48</v>
      </c>
      <c r="H13" s="21" t="n">
        <v>-0.0257</v>
      </c>
    </row>
    <row r="14">
      <c r="A14" s="5" t="inlineStr">
        <is>
          <t>2025-09</t>
        </is>
      </c>
      <c r="B14" s="13" t="n">
        <v>233171</v>
      </c>
      <c r="C14" s="13" t="n">
        <v>197454</v>
      </c>
      <c r="D14" s="13" t="n">
        <v>16215</v>
      </c>
      <c r="E14" s="13" t="n">
        <v>19502</v>
      </c>
      <c r="F14" s="17" t="n">
        <v>64608838.86</v>
      </c>
      <c r="G14" s="25" t="n">
        <v>277.09</v>
      </c>
      <c r="H14" s="15" t="n">
        <v>-0.1459</v>
      </c>
    </row>
    <row r="15">
      <c r="A15" s="19" t="inlineStr">
        <is>
          <t>2025-10</t>
        </is>
      </c>
      <c r="B15" s="20" t="n">
        <v>247308</v>
      </c>
      <c r="C15" s="20" t="n">
        <v>209457</v>
      </c>
      <c r="D15" s="20" t="n">
        <v>17060</v>
      </c>
      <c r="E15" s="20" t="n">
        <v>20791</v>
      </c>
      <c r="F15" s="23" t="n">
        <v>70861804.56999999</v>
      </c>
      <c r="G15" s="26" t="n">
        <v>286.53</v>
      </c>
      <c r="H15" s="21" t="n">
        <v>0.0606</v>
      </c>
    </row>
    <row r="16">
      <c r="A16" s="5" t="inlineStr">
        <is>
          <t>2025-11</t>
        </is>
      </c>
      <c r="B16" s="13" t="n">
        <v>250081</v>
      </c>
      <c r="C16" s="13" t="n">
        <v>211849</v>
      </c>
      <c r="D16" s="13" t="n">
        <v>17184</v>
      </c>
      <c r="E16" s="13" t="n">
        <v>21048</v>
      </c>
      <c r="F16" s="17" t="n">
        <v>77216398.09</v>
      </c>
      <c r="G16" s="25" t="n">
        <v>308.77</v>
      </c>
      <c r="H16" s="15" t="n">
        <v>0.0112</v>
      </c>
    </row>
    <row r="17">
      <c r="A17" s="19" t="inlineStr">
        <is>
          <t>2025-12</t>
        </is>
      </c>
      <c r="B17" s="20" t="n">
        <v>261700</v>
      </c>
      <c r="C17" s="20" t="n">
        <v>221715</v>
      </c>
      <c r="D17" s="20" t="n">
        <v>18017</v>
      </c>
      <c r="E17" s="20" t="n">
        <v>21968</v>
      </c>
      <c r="F17" s="23" t="n">
        <v>90003318.67</v>
      </c>
      <c r="G17" s="26" t="n">
        <v>343.92</v>
      </c>
      <c r="H17" s="21" t="n">
        <v>0.0465</v>
      </c>
    </row>
    <row r="18"/>
    <row r="19"/>
    <row r="20">
      <c r="A20" s="3" t="inlineStr">
        <is>
          <t>Cabin class distribution</t>
        </is>
      </c>
    </row>
    <row r="21" ht="30" customHeight="1">
      <c r="A21" s="14" t="inlineStr">
        <is>
          <t>Cabin Class</t>
        </is>
      </c>
      <c r="B21" s="14" t="inlineStr">
        <is>
          <t>Passengers</t>
        </is>
      </c>
      <c r="C21" s="14" t="inlineStr">
        <is>
          <t>Passenger Share</t>
        </is>
      </c>
      <c r="D21" s="14" t="inlineStr">
        <is>
          <t>Revenue</t>
        </is>
      </c>
      <c r="E21" s="14" t="inlineStr">
        <is>
          <t>Revenue Share</t>
        </is>
      </c>
      <c r="F21" s="14" t="inlineStr">
        <is>
          <t>Avg Ticket Price</t>
        </is>
      </c>
    </row>
    <row r="22">
      <c r="A22" s="5" t="inlineStr">
        <is>
          <t>Economy</t>
        </is>
      </c>
      <c r="B22" s="13" t="n">
        <v>2533112</v>
      </c>
      <c r="C22" s="15" t="n">
        <v>0.8471</v>
      </c>
      <c r="D22" s="17" t="n">
        <v>632538147.72</v>
      </c>
      <c r="E22" s="15" t="n">
        <v>0.6871</v>
      </c>
      <c r="F22" s="25" t="n">
        <v>249.71</v>
      </c>
    </row>
    <row r="23">
      <c r="A23" s="19" t="inlineStr">
        <is>
          <t>Premium Economy</t>
        </is>
      </c>
      <c r="B23" s="20" t="n">
        <v>206381</v>
      </c>
      <c r="C23" s="21" t="n">
        <v>0.06900000000000001</v>
      </c>
      <c r="D23" s="23" t="n">
        <v>95037350.98</v>
      </c>
      <c r="E23" s="21" t="n">
        <v>0.1032</v>
      </c>
      <c r="F23" s="26" t="n">
        <v>460.49</v>
      </c>
    </row>
    <row r="24">
      <c r="A24" s="5" t="inlineStr">
        <is>
          <t>Business</t>
        </is>
      </c>
      <c r="B24" s="13" t="n">
        <v>250846</v>
      </c>
      <c r="C24" s="15" t="n">
        <v>0.0839</v>
      </c>
      <c r="D24" s="17" t="n">
        <v>193042280.33</v>
      </c>
      <c r="E24" s="15" t="n">
        <v>0.2097</v>
      </c>
      <c r="F24" s="25" t="n">
        <v>769.5599999999999</v>
      </c>
    </row>
  </sheetData>
  <conditionalFormatting sqref="B6:B17">
    <cfRule type="dataBar" priority="1">
      <dataBar>
        <cfvo type="min"/>
        <cfvo type="max"/>
        <color rgb="009EC5F4"/>
      </dataBar>
    </cfRule>
  </conditionalFormatting>
  <conditionalFormatting sqref="F6:F17">
    <cfRule type="dataBar" priority="2">
      <dataBar>
        <cfvo type="min"/>
        <cfvo type="max"/>
        <color rgb="009EC5F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Revenue Analysis</t>
        </is>
      </c>
    </row>
    <row r="2">
      <c r="A2" s="2" t="inlineStr">
        <is>
          <t>Revenue = passengers x ticket price.</t>
        </is>
      </c>
    </row>
    <row r="3"/>
    <row r="4">
      <c r="A4" s="3" t="inlineStr">
        <is>
          <t>Revenue by airline</t>
        </is>
      </c>
    </row>
    <row r="5" ht="30" customHeight="1">
      <c r="A5" s="14" t="inlineStr">
        <is>
          <t>Airline</t>
        </is>
      </c>
      <c r="B5" s="14" t="inlineStr">
        <is>
          <t>Passengers</t>
        </is>
      </c>
      <c r="C5" s="14" t="inlineStr">
        <is>
          <t>Revenue</t>
        </is>
      </c>
      <c r="D5" s="14" t="inlineStr">
        <is>
          <t>Revenue Share</t>
        </is>
      </c>
      <c r="E5" s="14" t="inlineStr">
        <is>
          <t>Avg Ticket Price</t>
        </is>
      </c>
      <c r="F5" s="14" t="inlineStr">
        <is>
          <t>Business Revenue Share</t>
        </is>
      </c>
    </row>
    <row r="6">
      <c r="A6" s="5" t="inlineStr">
        <is>
          <t>Pacific Crest Airways</t>
        </is>
      </c>
      <c r="B6" s="13" t="n">
        <v>618059</v>
      </c>
      <c r="C6" s="17" t="n">
        <v>213592969.45</v>
      </c>
      <c r="D6" s="15" t="n">
        <v>0.232</v>
      </c>
      <c r="E6" s="25" t="n">
        <v>345.59</v>
      </c>
      <c r="F6" s="15" t="n">
        <v>0.212</v>
      </c>
    </row>
    <row r="7">
      <c r="A7" s="19" t="inlineStr">
        <is>
          <t>Meridian Airlines</t>
        </is>
      </c>
      <c r="B7" s="20" t="n">
        <v>526702</v>
      </c>
      <c r="C7" s="23" t="n">
        <v>203485782.66</v>
      </c>
      <c r="D7" s="21" t="n">
        <v>0.221</v>
      </c>
      <c r="E7" s="26" t="n">
        <v>386.34</v>
      </c>
      <c r="F7" s="21" t="n">
        <v>0.2005</v>
      </c>
    </row>
    <row r="8">
      <c r="A8" s="5" t="inlineStr">
        <is>
          <t>Coastal Jet</t>
        </is>
      </c>
      <c r="B8" s="13" t="n">
        <v>435591</v>
      </c>
      <c r="C8" s="17" t="n">
        <v>130604434.71</v>
      </c>
      <c r="D8" s="15" t="n">
        <v>0.1419</v>
      </c>
      <c r="E8" s="25" t="n">
        <v>299.83</v>
      </c>
      <c r="F8" s="15" t="n">
        <v>0.1897</v>
      </c>
    </row>
    <row r="9">
      <c r="A9" s="19" t="inlineStr">
        <is>
          <t>Bluewing Airways</t>
        </is>
      </c>
      <c r="B9" s="20" t="n">
        <v>474185</v>
      </c>
      <c r="C9" s="23" t="n">
        <v>130164950.86</v>
      </c>
      <c r="D9" s="21" t="n">
        <v>0.1414</v>
      </c>
      <c r="E9" s="26" t="n">
        <v>274.5</v>
      </c>
      <c r="F9" s="21" t="n">
        <v>0.2128</v>
      </c>
    </row>
    <row r="10">
      <c r="A10" s="5" t="inlineStr">
        <is>
          <t>Summit Air</t>
        </is>
      </c>
      <c r="B10" s="13" t="n">
        <v>476777</v>
      </c>
      <c r="C10" s="17" t="n">
        <v>128665011.04</v>
      </c>
      <c r="D10" s="15" t="n">
        <v>0.1398</v>
      </c>
      <c r="E10" s="25" t="n">
        <v>269.86</v>
      </c>
      <c r="F10" s="15" t="n">
        <v>0.2274</v>
      </c>
    </row>
    <row r="11">
      <c r="A11" s="19" t="inlineStr">
        <is>
          <t>Northstar Airlines</t>
        </is>
      </c>
      <c r="B11" s="20" t="n">
        <v>459025</v>
      </c>
      <c r="C11" s="23" t="n">
        <v>114104630.31</v>
      </c>
      <c r="D11" s="21" t="n">
        <v>0.1239</v>
      </c>
      <c r="E11" s="26" t="n">
        <v>248.58</v>
      </c>
      <c r="F11" s="21" t="n">
        <v>0.2211</v>
      </c>
    </row>
    <row r="12"/>
    <row r="13"/>
    <row r="14">
      <c r="A14" s="3" t="inlineStr">
        <is>
          <t>Top 10 revenue routes</t>
        </is>
      </c>
    </row>
    <row r="15" ht="30" customHeight="1">
      <c r="A15" s="14" t="inlineStr">
        <is>
          <t>Route</t>
        </is>
      </c>
      <c r="B15" s="14" t="inlineStr">
        <is>
          <t>Passengers</t>
        </is>
      </c>
      <c r="C15" s="14" t="inlineStr">
        <is>
          <t>Revenue</t>
        </is>
      </c>
      <c r="D15" s="14" t="inlineStr">
        <is>
          <t>Revenue Share</t>
        </is>
      </c>
      <c r="E15" s="14" t="inlineStr">
        <is>
          <t>Avg Ticket Price</t>
        </is>
      </c>
      <c r="F15" s="14" t="inlineStr">
        <is>
          <t>Revenue Per Flight</t>
        </is>
      </c>
    </row>
    <row r="16">
      <c r="A16" s="5" t="inlineStr">
        <is>
          <t>MIA-SFO</t>
        </is>
      </c>
      <c r="B16" s="13" t="n">
        <v>92515</v>
      </c>
      <c r="C16" s="17" t="n">
        <v>41302049.13</v>
      </c>
      <c r="D16" s="15" t="n">
        <v>0.0449</v>
      </c>
      <c r="E16" s="25" t="n">
        <v>446.44</v>
      </c>
      <c r="F16" s="25" t="n">
        <v>64034.18</v>
      </c>
    </row>
    <row r="17">
      <c r="A17" s="19" t="inlineStr">
        <is>
          <t>SFO-MIA</t>
        </is>
      </c>
      <c r="B17" s="20" t="n">
        <v>91829</v>
      </c>
      <c r="C17" s="23" t="n">
        <v>41269247.41</v>
      </c>
      <c r="D17" s="21" t="n">
        <v>0.0448</v>
      </c>
      <c r="E17" s="26" t="n">
        <v>449.41</v>
      </c>
      <c r="F17" s="26" t="n">
        <v>63785.54</v>
      </c>
    </row>
    <row r="18">
      <c r="A18" s="5" t="inlineStr">
        <is>
          <t>SFO-JFK</t>
        </is>
      </c>
      <c r="B18" s="13" t="n">
        <v>84040</v>
      </c>
      <c r="C18" s="17" t="n">
        <v>41210665.8</v>
      </c>
      <c r="D18" s="15" t="n">
        <v>0.0448</v>
      </c>
      <c r="E18" s="25" t="n">
        <v>490.37</v>
      </c>
      <c r="F18" s="25" t="n">
        <v>63695</v>
      </c>
    </row>
    <row r="19">
      <c r="A19" s="19" t="inlineStr">
        <is>
          <t>JFK-SFO</t>
        </is>
      </c>
      <c r="B19" s="20" t="n">
        <v>79711</v>
      </c>
      <c r="C19" s="23" t="n">
        <v>38634406.1</v>
      </c>
      <c r="D19" s="21" t="n">
        <v>0.042</v>
      </c>
      <c r="E19" s="26" t="n">
        <v>484.68</v>
      </c>
      <c r="F19" s="26" t="n">
        <v>60937.55</v>
      </c>
    </row>
    <row r="20">
      <c r="A20" s="5" t="inlineStr">
        <is>
          <t>CLT-SEA</t>
        </is>
      </c>
      <c r="B20" s="13" t="n">
        <v>81552</v>
      </c>
      <c r="C20" s="17" t="n">
        <v>36074506.27</v>
      </c>
      <c r="D20" s="15" t="n">
        <v>0.0392</v>
      </c>
      <c r="E20" s="25" t="n">
        <v>442.35</v>
      </c>
      <c r="F20" s="25" t="n">
        <v>55499.24</v>
      </c>
    </row>
    <row r="21">
      <c r="A21" s="19" t="inlineStr">
        <is>
          <t>SEA-CLT</t>
        </is>
      </c>
      <c r="B21" s="20" t="n">
        <v>81180</v>
      </c>
      <c r="C21" s="23" t="n">
        <v>35671271.05</v>
      </c>
      <c r="D21" s="21" t="n">
        <v>0.0387</v>
      </c>
      <c r="E21" s="26" t="n">
        <v>439.41</v>
      </c>
      <c r="F21" s="26" t="n">
        <v>55649.41</v>
      </c>
    </row>
    <row r="22">
      <c r="A22" s="5" t="inlineStr">
        <is>
          <t>ATL-PHX</t>
        </is>
      </c>
      <c r="B22" s="13" t="n">
        <v>90973</v>
      </c>
      <c r="C22" s="17" t="n">
        <v>28878308.94</v>
      </c>
      <c r="D22" s="15" t="n">
        <v>0.0314</v>
      </c>
      <c r="E22" s="25" t="n">
        <v>317.44</v>
      </c>
      <c r="F22" s="25" t="n">
        <v>45263.81</v>
      </c>
    </row>
    <row r="23">
      <c r="A23" s="19" t="inlineStr">
        <is>
          <t>PHX-ATL</t>
        </is>
      </c>
      <c r="B23" s="20" t="n">
        <v>89339</v>
      </c>
      <c r="C23" s="23" t="n">
        <v>28548196.43</v>
      </c>
      <c r="D23" s="21" t="n">
        <v>0.031</v>
      </c>
      <c r="E23" s="26" t="n">
        <v>319.55</v>
      </c>
      <c r="F23" s="26" t="n">
        <v>46194.49</v>
      </c>
    </row>
    <row r="24">
      <c r="A24" s="5" t="inlineStr">
        <is>
          <t>LAX-EWR</t>
        </is>
      </c>
      <c r="B24" s="13" t="n">
        <v>46668</v>
      </c>
      <c r="C24" s="17" t="n">
        <v>24139442.96</v>
      </c>
      <c r="D24" s="15" t="n">
        <v>0.0262</v>
      </c>
      <c r="E24" s="25" t="n">
        <v>517.26</v>
      </c>
      <c r="F24" s="25" t="n">
        <v>73820.92999999999</v>
      </c>
    </row>
    <row r="25">
      <c r="A25" s="19" t="inlineStr">
        <is>
          <t>EWR-LAX</t>
        </is>
      </c>
      <c r="B25" s="20" t="n">
        <v>44681</v>
      </c>
      <c r="C25" s="23" t="n">
        <v>23242145.73</v>
      </c>
      <c r="D25" s="21" t="n">
        <v>0.0252</v>
      </c>
      <c r="E25" s="26" t="n">
        <v>520.1799999999999</v>
      </c>
      <c r="F25" s="26" t="n">
        <v>72180.58</v>
      </c>
    </row>
    <row r="26"/>
    <row r="27"/>
    <row r="28">
      <c r="A28" s="3" t="inlineStr">
        <is>
          <t>Revenue by cabin class</t>
        </is>
      </c>
    </row>
    <row r="29" ht="30" customHeight="1">
      <c r="A29" s="14" t="inlineStr">
        <is>
          <t>Cabin Class</t>
        </is>
      </c>
      <c r="B29" s="14" t="inlineStr">
        <is>
          <t>Revenue</t>
        </is>
      </c>
      <c r="C29" s="14" t="inlineStr">
        <is>
          <t>Revenue Share</t>
        </is>
      </c>
      <c r="D29" s="14" t="inlineStr">
        <is>
          <t>Avg Ticket Price</t>
        </is>
      </c>
    </row>
    <row r="30">
      <c r="A30" s="5" t="inlineStr">
        <is>
          <t>Economy</t>
        </is>
      </c>
      <c r="B30" s="17" t="n">
        <v>632538147.72</v>
      </c>
      <c r="C30" s="15" t="n">
        <v>0.6871</v>
      </c>
      <c r="D30" s="25" t="n">
        <v>249.71</v>
      </c>
    </row>
    <row r="31">
      <c r="A31" s="19" t="inlineStr">
        <is>
          <t>Premium Economy</t>
        </is>
      </c>
      <c r="B31" s="23" t="n">
        <v>95037350.98</v>
      </c>
      <c r="C31" s="21" t="n">
        <v>0.1032</v>
      </c>
      <c r="D31" s="26" t="n">
        <v>460.49</v>
      </c>
    </row>
    <row r="32">
      <c r="A32" s="5" t="inlineStr">
        <is>
          <t>Business</t>
        </is>
      </c>
      <c r="B32" s="17" t="n">
        <v>193042280.33</v>
      </c>
      <c r="C32" s="15" t="n">
        <v>0.2097</v>
      </c>
      <c r="D32" s="25" t="n">
        <v>769.5599999999999</v>
      </c>
    </row>
  </sheetData>
  <conditionalFormatting sqref="B6:B11">
    <cfRule type="dataBar" priority="1">
      <dataBar>
        <cfvo type="min"/>
        <cfvo type="max"/>
        <color rgb="009EC5F4"/>
      </dataBar>
    </cfRule>
  </conditionalFormatting>
  <conditionalFormatting sqref="C6:C11">
    <cfRule type="dataBar" priority="2">
      <dataBar>
        <cfvo type="min"/>
        <cfvo type="max"/>
        <color rgb="009EC5F4"/>
      </dataBar>
    </cfRule>
  </conditionalFormatting>
  <conditionalFormatting sqref="B16:B25">
    <cfRule type="dataBar" priority="3">
      <dataBar>
        <cfvo type="min"/>
        <cfvo type="max"/>
        <color rgb="009EC5F4"/>
      </dataBar>
    </cfRule>
  </conditionalFormatting>
  <conditionalFormatting sqref="C16:C25">
    <cfRule type="dataBar" priority="4">
      <dataBar>
        <cfvo type="min"/>
        <cfvo type="max"/>
        <color rgb="009EC5F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2026-09-26T14:50:33Z</dcterms:created>
  <dcterms:modified xsi:type="dcterms:W3CDTF">2026-09-26T14:50:33Z</dcterms:modified>
</cp:coreProperties>
</file>